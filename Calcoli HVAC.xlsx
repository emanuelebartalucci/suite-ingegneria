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\\srvapp\home\dati\01_Archivio\206_Techniconsult\P-24-206-A_Adv Basic Design Imp Mecc Haupt Pharma LT\04_Progetto\01_Elaborati tecnici\01_File di lavoro\04_Calcoli HVAC\02_CC\"/>
    </mc:Choice>
  </mc:AlternateContent>
  <xr:revisionPtr revIDLastSave="0" documentId="13_ncr:1_{E30D375A-7695-48A1-933B-185F6D0F0C18}" xr6:coauthVersionLast="47" xr6:coauthVersionMax="47" xr10:uidLastSave="{00000000-0000-0000-0000-000000000000}"/>
  <bookViews>
    <workbookView xWindow="-108" yWindow="-108" windowWidth="23256" windowHeight="12576" tabRatio="896" activeTab="1" xr2:uid="{00000000-000D-0000-FFFF-FFFF00000000}"/>
  </bookViews>
  <sheets>
    <sheet name="COVER RHD" sheetId="32" r:id="rId1"/>
    <sheet name="Design Criteria" sheetId="16" r:id="rId2"/>
    <sheet name="CarichiApparecchiature(NO PLOT)" sheetId="9" r:id="rId3"/>
    <sheet name="Carichi t. REV(NO PLOT)" sheetId="36" r:id="rId4"/>
    <sheet name="Carichi t. LBW(NO PLOT)" sheetId="35" r:id="rId5"/>
    <sheet name="Carichi t. LINK(NO PLOT)" sheetId="30" r:id="rId6"/>
    <sheet name="COVER FCH" sheetId="33" r:id="rId7"/>
    <sheet name="PortateAria" sheetId="13" r:id="rId8"/>
    <sheet name="Batterie di POST" sheetId="37" r:id="rId9"/>
    <sheet name="RiepilogoConsumi(NO PLOT)" sheetId="18" r:id="rId10"/>
    <sheet name="Ventilconvettori(NO PLOT)" sheetId="29" r:id="rId11"/>
    <sheet name="Diffusori(NO PLOT)" sheetId="21" r:id="rId12"/>
    <sheet name="Aria primaria(NO PLOT)" sheetId="23" r:id="rId13"/>
    <sheet name="PerditeAria(NO PLOT)" sheetId="4" r:id="rId14"/>
  </sheets>
  <definedNames>
    <definedName name="_3_Port_Valve" localSheetId="8">#REF!</definedName>
    <definedName name="_3_Port_Valve">#REF!</definedName>
    <definedName name="_4_Port_Valve" localSheetId="8">#REF!</definedName>
    <definedName name="_4_Port_Valve">#REF!</definedName>
    <definedName name="_MAS1" localSheetId="8">#REF!</definedName>
    <definedName name="_MAS1">#REF!</definedName>
    <definedName name="_MAS2">#REF!</definedName>
    <definedName name="_xlnm.Print_Area" localSheetId="8">'Batterie di POST'!$A$1:$U$100</definedName>
    <definedName name="_xlnm.Print_Area" localSheetId="2">'CarichiApparecchiature(NO PLOT)'!$A$1:$J$37</definedName>
    <definedName name="_xlnm.Print_Area" localSheetId="6">'COVER FCH'!$A$1:$J$48</definedName>
    <definedName name="_xlnm.Print_Area" localSheetId="0">'COVER RHD'!$A$1:$J$48</definedName>
    <definedName name="_xlnm.Print_Area" localSheetId="1">'Design Criteria'!$A$1:$AB$112</definedName>
    <definedName name="_xlnm.Print_Area" localSheetId="13">'PerditeAria(NO PLOT)'!$A$1:$G$195</definedName>
    <definedName name="_xlnm.Print_Area" localSheetId="7">PortateAria!$A$1:$AF$108</definedName>
    <definedName name="_xlnm.Print_Area" localSheetId="9">'RiepilogoConsumi(NO PLOT)'!$A$1:$N$38</definedName>
    <definedName name="_xlnm.Print_Area" localSheetId="10">'Ventilconvettori(NO PLOT)'!$A$1:$U$22</definedName>
    <definedName name="_xlnm.Database">#REF!</definedName>
    <definedName name="EqList">#REF!</definedName>
    <definedName name="Foglio_di_calcolo" localSheetId="4">#REF!</definedName>
    <definedName name="Foglio_di_calcolo" localSheetId="5">#REF!</definedName>
    <definedName name="Foglio_di_calcolo" localSheetId="3">#REF!</definedName>
    <definedName name="Foglio_di_calcolo" localSheetId="10">#REF!</definedName>
    <definedName name="Foglio_di_calcolo">#REF!</definedName>
    <definedName name="Foglio_specifica" localSheetId="4">#REF!</definedName>
    <definedName name="Foglio_specifica" localSheetId="5">#REF!</definedName>
    <definedName name="Foglio_specifica" localSheetId="3">#REF!</definedName>
    <definedName name="Foglio_specifica" localSheetId="10">#REF!</definedName>
    <definedName name="Foglio_specifica">#REF!</definedName>
    <definedName name="KV_VALUE">#REF!</definedName>
    <definedName name="Picture">#REF!</definedName>
    <definedName name="Print_Area" localSheetId="6">'COVER FCH'!$A$1:$J$48</definedName>
    <definedName name="Print_Area" localSheetId="0">'COVER RHD'!$A$1:$J$48</definedName>
    <definedName name="Print_Area_MI">#REF!</definedName>
    <definedName name="w" localSheetId="4">#REF!</definedName>
    <definedName name="w" localSheetId="5">#REF!</definedName>
    <definedName name="w" localSheetId="3">#REF!</definedName>
    <definedName name="w" localSheetId="10">#REF!</definedName>
    <definedName name="w">#REF!</definedName>
  </definedNames>
  <calcPr calcId="191029"/>
  <fileRecoveryPr autoRecover="0"/>
</workbook>
</file>

<file path=xl/calcChain.xml><?xml version="1.0" encoding="utf-8"?>
<calcChain xmlns="http://schemas.openxmlformats.org/spreadsheetml/2006/main">
  <c r="D29" i="18" l="1"/>
  <c r="C29" i="18"/>
  <c r="C14" i="18"/>
  <c r="AB101" i="13" l="1"/>
  <c r="AA101" i="13"/>
  <c r="V83" i="37" l="1"/>
  <c r="J9" i="21"/>
  <c r="N17" i="29"/>
  <c r="N18" i="29"/>
  <c r="N16" i="29"/>
  <c r="AC26" i="16"/>
  <c r="F84" i="16"/>
  <c r="F85" i="16"/>
  <c r="F83" i="16"/>
  <c r="W20" i="29" l="1"/>
  <c r="O21" i="21"/>
  <c r="O20" i="21"/>
  <c r="E21" i="21"/>
  <c r="E20" i="21"/>
  <c r="P21" i="21"/>
  <c r="M21" i="21"/>
  <c r="K21" i="21"/>
  <c r="H21" i="21"/>
  <c r="J21" i="21" s="1"/>
  <c r="L21" i="21" s="1"/>
  <c r="C21" i="21"/>
  <c r="G21" i="21" s="1"/>
  <c r="B21" i="21"/>
  <c r="A21" i="21"/>
  <c r="P20" i="21"/>
  <c r="M20" i="21"/>
  <c r="K20" i="21"/>
  <c r="H20" i="21"/>
  <c r="J20" i="21" s="1"/>
  <c r="L20" i="21" s="1"/>
  <c r="C20" i="21"/>
  <c r="B20" i="21"/>
  <c r="A20" i="21"/>
  <c r="N23" i="23"/>
  <c r="L23" i="23"/>
  <c r="J23" i="23"/>
  <c r="K23" i="23" s="1"/>
  <c r="M23" i="23" s="1"/>
  <c r="E23" i="23"/>
  <c r="B23" i="23"/>
  <c r="N22" i="23"/>
  <c r="L22" i="23"/>
  <c r="J22" i="23"/>
  <c r="K22" i="23" s="1"/>
  <c r="M22" i="23" s="1"/>
  <c r="E22" i="23"/>
  <c r="B22" i="23"/>
  <c r="X20" i="29"/>
  <c r="N20" i="29"/>
  <c r="G20" i="29"/>
  <c r="N14" i="29"/>
  <c r="Q14" i="29" s="1"/>
  <c r="G14" i="29"/>
  <c r="S14" i="29" s="1"/>
  <c r="U14" i="29"/>
  <c r="T14" i="29"/>
  <c r="R14" i="29"/>
  <c r="C14" i="29"/>
  <c r="B14" i="29"/>
  <c r="A14" i="29"/>
  <c r="U13" i="29"/>
  <c r="T13" i="29"/>
  <c r="R13" i="29"/>
  <c r="N13" i="29"/>
  <c r="Q13" i="29" s="1"/>
  <c r="G13" i="29"/>
  <c r="S13" i="29" s="1"/>
  <c r="C13" i="29"/>
  <c r="B13" i="29"/>
  <c r="A13" i="29"/>
  <c r="E58" i="37"/>
  <c r="D58" i="37"/>
  <c r="C58" i="37"/>
  <c r="E57" i="37"/>
  <c r="D57" i="37"/>
  <c r="C57" i="37"/>
  <c r="A74" i="16"/>
  <c r="Q20" i="21" l="1"/>
  <c r="Q21" i="21"/>
  <c r="G20" i="21"/>
  <c r="AB51" i="13"/>
  <c r="AA51" i="13"/>
  <c r="Y51" i="13"/>
  <c r="X51" i="13"/>
  <c r="V51" i="13"/>
  <c r="T51" i="13"/>
  <c r="Y50" i="13"/>
  <c r="V50" i="13"/>
  <c r="Z50" i="13" s="1"/>
  <c r="U50" i="13"/>
  <c r="S50" i="13"/>
  <c r="H50" i="13"/>
  <c r="G50" i="13"/>
  <c r="E50" i="13"/>
  <c r="C23" i="23" s="1"/>
  <c r="H23" i="23" s="1"/>
  <c r="C50" i="13"/>
  <c r="B50" i="13"/>
  <c r="A50" i="13"/>
  <c r="Y49" i="13"/>
  <c r="V49" i="13"/>
  <c r="Z49" i="13" s="1"/>
  <c r="U49" i="13"/>
  <c r="S49" i="13"/>
  <c r="H49" i="13"/>
  <c r="G49" i="13"/>
  <c r="E49" i="13"/>
  <c r="C22" i="23" s="1"/>
  <c r="H22" i="23" s="1"/>
  <c r="C49" i="13"/>
  <c r="B49" i="13"/>
  <c r="A49" i="13"/>
  <c r="E87" i="16"/>
  <c r="D87" i="16"/>
  <c r="C87" i="16"/>
  <c r="B87" i="16"/>
  <c r="A87" i="16"/>
  <c r="AB38" i="16"/>
  <c r="Z38" i="16"/>
  <c r="AA38" i="16" s="1"/>
  <c r="I21" i="9"/>
  <c r="J21" i="9"/>
  <c r="H21" i="9"/>
  <c r="E74" i="16"/>
  <c r="D74" i="16"/>
  <c r="C74" i="16"/>
  <c r="B74" i="16"/>
  <c r="E73" i="16"/>
  <c r="D73" i="16"/>
  <c r="C73" i="16"/>
  <c r="B73" i="16"/>
  <c r="A73" i="16"/>
  <c r="J18" i="9"/>
  <c r="I19" i="9"/>
  <c r="J19" i="9"/>
  <c r="H19" i="9"/>
  <c r="V31" i="16"/>
  <c r="H33" i="9"/>
  <c r="I33" i="9" s="1"/>
  <c r="J33" i="9" s="1"/>
  <c r="A33" i="9"/>
  <c r="B33" i="9"/>
  <c r="H18" i="9"/>
  <c r="I18" i="9" s="1"/>
  <c r="A23" i="23" l="1"/>
  <c r="B58" i="37"/>
  <c r="B57" i="37"/>
  <c r="A22" i="23"/>
  <c r="E51" i="13"/>
  <c r="Z51" i="13"/>
  <c r="V24" i="16"/>
  <c r="V25" i="16" l="1"/>
  <c r="B19" i="9"/>
  <c r="A19" i="9"/>
  <c r="B18" i="9"/>
  <c r="A18" i="9"/>
  <c r="Y25" i="16"/>
  <c r="U25" i="16"/>
  <c r="L25" i="16"/>
  <c r="F50" i="13" s="1"/>
  <c r="Y24" i="16"/>
  <c r="U24" i="16"/>
  <c r="L24" i="16"/>
  <c r="F49" i="13" s="1"/>
  <c r="F31" i="18"/>
  <c r="C13" i="36"/>
  <c r="E6" i="36"/>
  <c r="C6" i="36"/>
  <c r="B6" i="36"/>
  <c r="A6" i="36"/>
  <c r="W49" i="13" l="1"/>
  <c r="D22" i="23"/>
  <c r="R49" i="13"/>
  <c r="R50" i="13"/>
  <c r="D23" i="23"/>
  <c r="F51" i="13"/>
  <c r="W50" i="13"/>
  <c r="X24" i="16"/>
  <c r="X25" i="16"/>
  <c r="G37" i="18"/>
  <c r="M27" i="21" l="1"/>
  <c r="M28" i="21"/>
  <c r="M26" i="21"/>
  <c r="A27" i="21"/>
  <c r="B27" i="21"/>
  <c r="A28" i="21"/>
  <c r="B28" i="21"/>
  <c r="B26" i="21"/>
  <c r="A26" i="21"/>
  <c r="B21" i="18"/>
  <c r="B29" i="18" s="1"/>
  <c r="G29" i="18"/>
  <c r="C35" i="18"/>
  <c r="C37" i="18" s="1"/>
  <c r="G12" i="29"/>
  <c r="G11" i="29"/>
  <c r="G10" i="29"/>
  <c r="G9" i="29"/>
  <c r="G7" i="29"/>
  <c r="F17" i="18"/>
  <c r="E17" i="18" s="1"/>
  <c r="E14" i="18"/>
  <c r="F8" i="18"/>
  <c r="E8" i="18" s="1"/>
  <c r="F5" i="18"/>
  <c r="E5" i="18" s="1"/>
  <c r="E21" i="18" s="1"/>
  <c r="J97" i="37"/>
  <c r="I97" i="37"/>
  <c r="J92" i="37"/>
  <c r="N33" i="23"/>
  <c r="N34" i="23"/>
  <c r="E31" i="18" l="1"/>
  <c r="F21" i="18"/>
  <c r="L83" i="13"/>
  <c r="N26" i="23"/>
  <c r="N25" i="23"/>
  <c r="E33" i="23"/>
  <c r="E34" i="23"/>
  <c r="J34" i="23"/>
  <c r="J33" i="23"/>
  <c r="J32" i="23"/>
  <c r="E32" i="23"/>
  <c r="D99" i="13"/>
  <c r="D100" i="13"/>
  <c r="D98" i="13"/>
  <c r="E29" i="23"/>
  <c r="E30" i="23"/>
  <c r="E28" i="23"/>
  <c r="D191" i="4"/>
  <c r="K166" i="4"/>
  <c r="M166" i="4" s="1"/>
  <c r="K165" i="4"/>
  <c r="M165" i="4" s="1"/>
  <c r="D166" i="4"/>
  <c r="S166" i="4" s="1"/>
  <c r="P166" i="4" s="1"/>
  <c r="N166" i="4" s="1"/>
  <c r="D165" i="4"/>
  <c r="S165" i="4" s="1"/>
  <c r="P165" i="4" s="1"/>
  <c r="N165" i="4" s="1"/>
  <c r="H82" i="13"/>
  <c r="H97" i="37" s="1"/>
  <c r="D164" i="4"/>
  <c r="S164" i="4" s="1"/>
  <c r="P164" i="4" s="1"/>
  <c r="N164" i="4" s="1"/>
  <c r="K164" i="4"/>
  <c r="M164" i="4" s="1"/>
  <c r="O83" i="13"/>
  <c r="A81" i="13"/>
  <c r="B81" i="13"/>
  <c r="C81" i="13"/>
  <c r="D90" i="37" s="1"/>
  <c r="D81" i="13"/>
  <c r="E81" i="13"/>
  <c r="C28" i="23" s="1"/>
  <c r="G81" i="13"/>
  <c r="G92" i="37" s="1"/>
  <c r="H81" i="13"/>
  <c r="H92" i="37" s="1"/>
  <c r="A83" i="13"/>
  <c r="B164" i="4" s="1"/>
  <c r="B83" i="13"/>
  <c r="B30" i="23" s="1"/>
  <c r="C83" i="13"/>
  <c r="D83" i="13"/>
  <c r="E83" i="13"/>
  <c r="C30" i="23" s="1"/>
  <c r="G83" i="13"/>
  <c r="H83" i="13"/>
  <c r="G82" i="13"/>
  <c r="G97" i="37" s="1"/>
  <c r="E82" i="13"/>
  <c r="C29" i="23" s="1"/>
  <c r="D82" i="13"/>
  <c r="C82" i="13"/>
  <c r="D94" i="37" s="1"/>
  <c r="B82" i="13"/>
  <c r="A82" i="13"/>
  <c r="E85" i="16"/>
  <c r="D85" i="16"/>
  <c r="C85" i="16"/>
  <c r="B85" i="16"/>
  <c r="A85" i="16"/>
  <c r="E84" i="16"/>
  <c r="D84" i="16"/>
  <c r="C84" i="16"/>
  <c r="B84" i="16"/>
  <c r="A84" i="16"/>
  <c r="E83" i="16"/>
  <c r="D83" i="16"/>
  <c r="C83" i="16"/>
  <c r="B83" i="16"/>
  <c r="A83" i="16"/>
  <c r="E81" i="16"/>
  <c r="D81" i="16"/>
  <c r="C81" i="16"/>
  <c r="B81" i="16"/>
  <c r="A81" i="16"/>
  <c r="E79" i="16"/>
  <c r="D79" i="16"/>
  <c r="C79" i="16"/>
  <c r="B79" i="16"/>
  <c r="A79" i="16"/>
  <c r="E80" i="16"/>
  <c r="D80" i="16"/>
  <c r="C80" i="16"/>
  <c r="B80" i="16"/>
  <c r="A80" i="16"/>
  <c r="Y32" i="16"/>
  <c r="X32" i="16"/>
  <c r="V32" i="16"/>
  <c r="H34" i="9"/>
  <c r="I34" i="9" s="1"/>
  <c r="J34" i="9" s="1"/>
  <c r="A34" i="9"/>
  <c r="B34" i="9"/>
  <c r="B32" i="9"/>
  <c r="A32" i="9"/>
  <c r="L32" i="16"/>
  <c r="F83" i="13" s="1"/>
  <c r="D30" i="23" s="1"/>
  <c r="U32" i="16"/>
  <c r="K31" i="16"/>
  <c r="A164" i="4" l="1"/>
  <c r="B94" i="37"/>
  <c r="B29" i="23"/>
  <c r="C94" i="37"/>
  <c r="B28" i="23"/>
  <c r="C90" i="37"/>
  <c r="B168" i="4"/>
  <c r="B90" i="37"/>
  <c r="K32" i="23"/>
  <c r="K33" i="23"/>
  <c r="K34" i="23"/>
  <c r="A191" i="4"/>
  <c r="A28" i="23"/>
  <c r="B191" i="4"/>
  <c r="C191" i="4"/>
  <c r="F191" i="4" s="1"/>
  <c r="AB83" i="13" s="1"/>
  <c r="A165" i="4"/>
  <c r="A30" i="23"/>
  <c r="A166" i="4"/>
  <c r="A29" i="23"/>
  <c r="B165" i="4"/>
  <c r="O166" i="4"/>
  <c r="Q166" i="4" s="1"/>
  <c r="F166" i="4" s="1"/>
  <c r="O165" i="4"/>
  <c r="Q165" i="4" s="1"/>
  <c r="F165" i="4" s="1"/>
  <c r="AA83" i="13" s="1"/>
  <c r="A163" i="4"/>
  <c r="O164" i="4"/>
  <c r="Q164" i="4" s="1"/>
  <c r="F164" i="4" s="1"/>
  <c r="AA82" i="13" s="1"/>
  <c r="J30" i="23"/>
  <c r="J29" i="23"/>
  <c r="X31" i="16"/>
  <c r="Y31" i="16"/>
  <c r="X30" i="16"/>
  <c r="Y30" i="16"/>
  <c r="U30" i="16"/>
  <c r="L30" i="16"/>
  <c r="U31" i="16"/>
  <c r="L31" i="16"/>
  <c r="F82" i="13" s="1"/>
  <c r="D29" i="23" s="1"/>
  <c r="Z30" i="16" l="1"/>
  <c r="F81" i="13"/>
  <c r="D28" i="23" s="1"/>
  <c r="K30" i="23"/>
  <c r="K29" i="23"/>
  <c r="AB30" i="16"/>
  <c r="J81" i="13" s="1"/>
  <c r="A33" i="18"/>
  <c r="A32" i="18"/>
  <c r="D189" i="4" l="1"/>
  <c r="D190" i="4"/>
  <c r="K163" i="4"/>
  <c r="M163" i="4" s="1"/>
  <c r="D163" i="4"/>
  <c r="S163" i="4" s="1"/>
  <c r="P163" i="4" s="1"/>
  <c r="N163" i="4" s="1"/>
  <c r="X84" i="13"/>
  <c r="AG88" i="13" s="1"/>
  <c r="D95" i="37"/>
  <c r="Y83" i="13"/>
  <c r="S20" i="29"/>
  <c r="S16" i="29"/>
  <c r="S12" i="29"/>
  <c r="S11" i="29"/>
  <c r="S10" i="29"/>
  <c r="S9" i="29"/>
  <c r="S7" i="29"/>
  <c r="N7" i="29"/>
  <c r="I74" i="37"/>
  <c r="K171" i="4"/>
  <c r="M171" i="4" s="1"/>
  <c r="D171" i="4"/>
  <c r="S171" i="4" s="1"/>
  <c r="P171" i="4" s="1"/>
  <c r="N171" i="4" s="1"/>
  <c r="X67" i="13"/>
  <c r="AG71" i="13" s="1"/>
  <c r="G38" i="18"/>
  <c r="U20" i="29"/>
  <c r="U18" i="29"/>
  <c r="U17" i="29"/>
  <c r="U16" i="29"/>
  <c r="U12" i="29"/>
  <c r="U11" i="29"/>
  <c r="U10" i="29"/>
  <c r="U9" i="29"/>
  <c r="U7" i="29"/>
  <c r="S18" i="29"/>
  <c r="S17" i="29"/>
  <c r="A20" i="29"/>
  <c r="A17" i="29"/>
  <c r="A18" i="29"/>
  <c r="A16" i="29"/>
  <c r="A10" i="29"/>
  <c r="A11" i="29"/>
  <c r="A12" i="29"/>
  <c r="A9" i="29"/>
  <c r="A7" i="29"/>
  <c r="P22" i="29"/>
  <c r="T20" i="29"/>
  <c r="R20" i="29"/>
  <c r="Q20" i="29"/>
  <c r="T18" i="29"/>
  <c r="R18" i="29"/>
  <c r="Q18" i="29"/>
  <c r="T17" i="29"/>
  <c r="R17" i="29"/>
  <c r="Q17" i="29"/>
  <c r="T16" i="29"/>
  <c r="R16" i="29"/>
  <c r="Q16" i="29"/>
  <c r="T12" i="29"/>
  <c r="R12" i="29"/>
  <c r="T11" i="29"/>
  <c r="R11" i="29"/>
  <c r="T10" i="29"/>
  <c r="R10" i="29"/>
  <c r="T9" i="29"/>
  <c r="R9" i="29"/>
  <c r="N12" i="29"/>
  <c r="Q12" i="29" s="1"/>
  <c r="N11" i="29"/>
  <c r="Q11" i="29" s="1"/>
  <c r="N10" i="29"/>
  <c r="Q10" i="29" s="1"/>
  <c r="N9" i="29"/>
  <c r="Q9" i="29" s="1"/>
  <c r="T7" i="29"/>
  <c r="B17" i="29"/>
  <c r="C17" i="29"/>
  <c r="B18" i="29"/>
  <c r="C18" i="29"/>
  <c r="B20" i="29"/>
  <c r="C20" i="29"/>
  <c r="C16" i="29"/>
  <c r="B16" i="29"/>
  <c r="B10" i="29"/>
  <c r="C10" i="29"/>
  <c r="B11" i="29"/>
  <c r="C11" i="29"/>
  <c r="B12" i="29"/>
  <c r="C12" i="29"/>
  <c r="C9" i="29"/>
  <c r="B9" i="29"/>
  <c r="C7" i="29"/>
  <c r="B7" i="29"/>
  <c r="M24" i="21"/>
  <c r="M23" i="21"/>
  <c r="M19" i="21"/>
  <c r="O19" i="21" s="1"/>
  <c r="M16" i="21"/>
  <c r="O16" i="21" s="1"/>
  <c r="M10" i="21"/>
  <c r="M11" i="21"/>
  <c r="M12" i="21"/>
  <c r="M13" i="21"/>
  <c r="M14" i="21"/>
  <c r="M9" i="21"/>
  <c r="M7" i="21"/>
  <c r="A24" i="21"/>
  <c r="B24" i="21"/>
  <c r="C24" i="21"/>
  <c r="E24" i="21" s="1"/>
  <c r="A17" i="21"/>
  <c r="B17" i="21"/>
  <c r="C17" i="21"/>
  <c r="E17" i="21" s="1"/>
  <c r="A18" i="21"/>
  <c r="B18" i="21"/>
  <c r="C18" i="21"/>
  <c r="E18" i="21" s="1"/>
  <c r="A19" i="21"/>
  <c r="B19" i="21"/>
  <c r="C19" i="21"/>
  <c r="E19" i="21" s="1"/>
  <c r="A23" i="21"/>
  <c r="B23" i="21"/>
  <c r="C16" i="21"/>
  <c r="E16" i="21" s="1"/>
  <c r="A10" i="21"/>
  <c r="B10" i="21"/>
  <c r="A11" i="21"/>
  <c r="B11" i="21"/>
  <c r="A12" i="21"/>
  <c r="B12" i="21"/>
  <c r="A13" i="21"/>
  <c r="B13" i="21"/>
  <c r="A14" i="21"/>
  <c r="B14" i="21"/>
  <c r="A16" i="21"/>
  <c r="B16" i="21"/>
  <c r="A9" i="21"/>
  <c r="B9" i="21"/>
  <c r="A19" i="18"/>
  <c r="A18" i="18"/>
  <c r="A15" i="18"/>
  <c r="A12" i="18"/>
  <c r="A11" i="18"/>
  <c r="A10" i="18"/>
  <c r="A9" i="18"/>
  <c r="A6" i="18"/>
  <c r="E50" i="30"/>
  <c r="C95" i="37" l="1"/>
  <c r="C189" i="4"/>
  <c r="F189" i="4" s="1"/>
  <c r="AB81" i="13" s="1"/>
  <c r="H30" i="23"/>
  <c r="C190" i="4"/>
  <c r="F190" i="4" s="1"/>
  <c r="AB82" i="13" s="1"/>
  <c r="H29" i="23"/>
  <c r="B95" i="37"/>
  <c r="A190" i="4"/>
  <c r="B190" i="4"/>
  <c r="E84" i="13"/>
  <c r="R81" i="13"/>
  <c r="P81" i="13"/>
  <c r="Q81" i="13" s="1"/>
  <c r="B189" i="4"/>
  <c r="A189" i="4"/>
  <c r="O163" i="4"/>
  <c r="Q163" i="4" s="1"/>
  <c r="F163" i="4" s="1"/>
  <c r="AA81" i="13" s="1"/>
  <c r="U22" i="29"/>
  <c r="O171" i="4"/>
  <c r="Q171" i="4" s="1"/>
  <c r="F171" i="4" s="1"/>
  <c r="S22" i="29"/>
  <c r="T22" i="29"/>
  <c r="A76" i="16" l="1"/>
  <c r="B76" i="16"/>
  <c r="C76" i="16"/>
  <c r="D76" i="16"/>
  <c r="E76" i="16"/>
  <c r="E77" i="16"/>
  <c r="E67" i="16" l="1"/>
  <c r="D67" i="16"/>
  <c r="C67" i="16"/>
  <c r="B67" i="16"/>
  <c r="A67" i="16"/>
  <c r="E66" i="16"/>
  <c r="D66" i="16"/>
  <c r="C66" i="16"/>
  <c r="B66" i="16"/>
  <c r="A66" i="16"/>
  <c r="A60" i="16"/>
  <c r="B60" i="16"/>
  <c r="C60" i="16"/>
  <c r="D60" i="16"/>
  <c r="E60" i="16"/>
  <c r="A61" i="16"/>
  <c r="B61" i="16"/>
  <c r="C61" i="16"/>
  <c r="D61" i="16"/>
  <c r="E61" i="16"/>
  <c r="A62" i="16"/>
  <c r="B62" i="16"/>
  <c r="C62" i="16"/>
  <c r="D62" i="16"/>
  <c r="E62" i="16"/>
  <c r="A63" i="16"/>
  <c r="B63" i="16"/>
  <c r="C63" i="16"/>
  <c r="D63" i="16"/>
  <c r="E63" i="16"/>
  <c r="A64" i="16"/>
  <c r="B64" i="16"/>
  <c r="C64" i="16"/>
  <c r="D64" i="16"/>
  <c r="E64" i="16"/>
  <c r="A65" i="16"/>
  <c r="B65" i="16"/>
  <c r="C65" i="16"/>
  <c r="D65" i="16"/>
  <c r="E65" i="16"/>
  <c r="E59" i="16"/>
  <c r="D59" i="16"/>
  <c r="C59" i="16"/>
  <c r="B59" i="16"/>
  <c r="A59" i="16"/>
  <c r="J74" i="37" l="1"/>
  <c r="G65" i="13"/>
  <c r="G74" i="37" s="1"/>
  <c r="H65" i="13"/>
  <c r="H74" i="37" s="1"/>
  <c r="G66" i="13"/>
  <c r="D161" i="4"/>
  <c r="S161" i="4" s="1"/>
  <c r="P161" i="4" s="1"/>
  <c r="N161" i="4" s="1"/>
  <c r="K161" i="4"/>
  <c r="M161" i="4" s="1"/>
  <c r="D157" i="4"/>
  <c r="S157" i="4" s="1"/>
  <c r="P157" i="4" s="1"/>
  <c r="N157" i="4" s="1"/>
  <c r="K157" i="4"/>
  <c r="M157" i="4" s="1"/>
  <c r="V65" i="37"/>
  <c r="J78" i="37"/>
  <c r="E76" i="37"/>
  <c r="O161" i="4" l="1"/>
  <c r="Q161" i="4" s="1"/>
  <c r="F161" i="4" s="1"/>
  <c r="O157" i="4"/>
  <c r="Q157" i="4" s="1"/>
  <c r="F157" i="4" s="1"/>
  <c r="F78" i="37"/>
  <c r="V46" i="37"/>
  <c r="J60" i="37"/>
  <c r="E54" i="37"/>
  <c r="E55" i="37"/>
  <c r="E56" i="37"/>
  <c r="E53" i="37"/>
  <c r="Q78" i="37" l="1"/>
  <c r="S78" i="37" s="1"/>
  <c r="K78" i="37"/>
  <c r="L78" i="37" s="1"/>
  <c r="D18" i="18" s="1"/>
  <c r="U78" i="37"/>
  <c r="X47" i="13"/>
  <c r="M18" i="21" s="1"/>
  <c r="O18" i="21" s="1"/>
  <c r="X46" i="13"/>
  <c r="M17" i="21" s="1"/>
  <c r="O17" i="21" s="1"/>
  <c r="V1" i="37"/>
  <c r="I31" i="37"/>
  <c r="J41" i="37"/>
  <c r="J35" i="37"/>
  <c r="J31" i="37"/>
  <c r="V15" i="37"/>
  <c r="J27" i="37"/>
  <c r="E14" i="23"/>
  <c r="E15" i="23"/>
  <c r="E16" i="23"/>
  <c r="J16" i="23"/>
  <c r="J15" i="23"/>
  <c r="E13" i="23"/>
  <c r="J13" i="23"/>
  <c r="J14" i="23"/>
  <c r="A28" i="13"/>
  <c r="A14" i="23" s="1"/>
  <c r="B28" i="13"/>
  <c r="B14" i="23" s="1"/>
  <c r="C28" i="13"/>
  <c r="D37" i="37" s="1"/>
  <c r="D28" i="13"/>
  <c r="E28" i="13"/>
  <c r="C14" i="23" s="1"/>
  <c r="H14" i="23" s="1"/>
  <c r="G28" i="13"/>
  <c r="H28" i="13"/>
  <c r="I28" i="13"/>
  <c r="J28" i="13"/>
  <c r="A29" i="13"/>
  <c r="A15" i="23" s="1"/>
  <c r="B29" i="13"/>
  <c r="C38" i="37" s="1"/>
  <c r="C29" i="13"/>
  <c r="D38" i="37" s="1"/>
  <c r="D29" i="13"/>
  <c r="E29" i="13"/>
  <c r="C15" i="23" s="1"/>
  <c r="H15" i="23" s="1"/>
  <c r="G29" i="13"/>
  <c r="H29" i="13"/>
  <c r="I29" i="13"/>
  <c r="J29" i="13"/>
  <c r="A30" i="13"/>
  <c r="B39" i="37" s="1"/>
  <c r="B30" i="13"/>
  <c r="C39" i="37" s="1"/>
  <c r="C30" i="13"/>
  <c r="D39" i="37" s="1"/>
  <c r="D30" i="13"/>
  <c r="E30" i="13"/>
  <c r="C16" i="23" s="1"/>
  <c r="H16" i="23" s="1"/>
  <c r="G30" i="13"/>
  <c r="H30" i="13"/>
  <c r="I30" i="13"/>
  <c r="J30" i="13"/>
  <c r="Y28" i="13"/>
  <c r="Y29" i="13"/>
  <c r="A27" i="13"/>
  <c r="B33" i="37" s="1"/>
  <c r="B27" i="13"/>
  <c r="C33" i="37" s="1"/>
  <c r="C27" i="13"/>
  <c r="D33" i="37" s="1"/>
  <c r="D27" i="13"/>
  <c r="E27" i="13"/>
  <c r="C13" i="23" s="1"/>
  <c r="H13" i="23" s="1"/>
  <c r="G27" i="13"/>
  <c r="G35" i="37" s="1"/>
  <c r="H27" i="13"/>
  <c r="H35" i="37" s="1"/>
  <c r="Y27" i="13"/>
  <c r="L16" i="16"/>
  <c r="F28" i="13" s="1"/>
  <c r="D14" i="23" s="1"/>
  <c r="L18" i="16"/>
  <c r="F30" i="13" s="1"/>
  <c r="D16" i="23" s="1"/>
  <c r="L17" i="16"/>
  <c r="F29" i="13" s="1"/>
  <c r="D15" i="23" s="1"/>
  <c r="O78" i="37" l="1"/>
  <c r="P78" i="37" s="1"/>
  <c r="N78" i="37"/>
  <c r="C37" i="37"/>
  <c r="B15" i="23"/>
  <c r="R28" i="13"/>
  <c r="S28" i="13" s="1"/>
  <c r="T28" i="13" s="1"/>
  <c r="A16" i="23"/>
  <c r="B16" i="23"/>
  <c r="B13" i="23"/>
  <c r="K16" i="23"/>
  <c r="B38" i="37"/>
  <c r="A13" i="23"/>
  <c r="B37" i="37"/>
  <c r="K15" i="23"/>
  <c r="K14" i="23"/>
  <c r="K13" i="23"/>
  <c r="R29" i="13"/>
  <c r="S29" i="13" s="1"/>
  <c r="T29" i="13" s="1"/>
  <c r="A23" i="13"/>
  <c r="B29" i="37" s="1"/>
  <c r="B23" i="13"/>
  <c r="C29" i="37" s="1"/>
  <c r="C23" i="13"/>
  <c r="D29" i="37" s="1"/>
  <c r="D23" i="13"/>
  <c r="G23" i="13"/>
  <c r="G31" i="37" s="1"/>
  <c r="H23" i="13"/>
  <c r="H31" i="37" s="1"/>
  <c r="A24" i="13"/>
  <c r="B23" i="37" s="1"/>
  <c r="B24" i="13"/>
  <c r="C23" i="37" s="1"/>
  <c r="C24" i="13"/>
  <c r="D23" i="37" s="1"/>
  <c r="D24" i="13"/>
  <c r="E24" i="13"/>
  <c r="G24" i="13"/>
  <c r="H24" i="13"/>
  <c r="D145" i="4"/>
  <c r="S145" i="4" s="1"/>
  <c r="P145" i="4" s="1"/>
  <c r="N145" i="4" s="1"/>
  <c r="K145" i="4"/>
  <c r="M145" i="4" s="1"/>
  <c r="AB53" i="13"/>
  <c r="P51" i="13"/>
  <c r="M51" i="13"/>
  <c r="X31" i="13"/>
  <c r="AG35" i="13" s="1"/>
  <c r="A45" i="13"/>
  <c r="B53" i="37" s="1"/>
  <c r="B45" i="13"/>
  <c r="C53" i="37" s="1"/>
  <c r="C45" i="13"/>
  <c r="D53" i="37" s="1"/>
  <c r="E45" i="13"/>
  <c r="G45" i="13"/>
  <c r="G60" i="37" s="1"/>
  <c r="H45" i="13"/>
  <c r="H60" i="37" s="1"/>
  <c r="S45" i="13"/>
  <c r="U45" i="13"/>
  <c r="V45" i="13"/>
  <c r="Z45" i="13" s="1"/>
  <c r="Y45" i="13"/>
  <c r="A46" i="13"/>
  <c r="B54" i="37" s="1"/>
  <c r="B46" i="13"/>
  <c r="C54" i="37" s="1"/>
  <c r="C46" i="13"/>
  <c r="D54" i="37" s="1"/>
  <c r="E46" i="13"/>
  <c r="G46" i="13"/>
  <c r="H46" i="13"/>
  <c r="S46" i="13"/>
  <c r="U46" i="13"/>
  <c r="V46" i="13"/>
  <c r="Z46" i="13" s="1"/>
  <c r="Y46" i="13"/>
  <c r="A47" i="13"/>
  <c r="B55" i="37" s="1"/>
  <c r="B47" i="13"/>
  <c r="C55" i="37" s="1"/>
  <c r="C47" i="13"/>
  <c r="D55" i="37" s="1"/>
  <c r="E47" i="13"/>
  <c r="G47" i="13"/>
  <c r="H47" i="13"/>
  <c r="S47" i="13"/>
  <c r="U47" i="13"/>
  <c r="V47" i="13"/>
  <c r="Z47" i="13" s="1"/>
  <c r="Y47" i="13"/>
  <c r="A48" i="13"/>
  <c r="B56" i="37" s="1"/>
  <c r="B48" i="13"/>
  <c r="C56" i="37" s="1"/>
  <c r="C48" i="13"/>
  <c r="D56" i="37" s="1"/>
  <c r="E48" i="13"/>
  <c r="G48" i="13"/>
  <c r="H48" i="13"/>
  <c r="S48" i="13"/>
  <c r="U48" i="13"/>
  <c r="V48" i="13"/>
  <c r="Z48" i="13" s="1"/>
  <c r="Y48" i="13"/>
  <c r="E78" i="35"/>
  <c r="E79" i="35"/>
  <c r="H69" i="35"/>
  <c r="F69" i="35"/>
  <c r="L69" i="35" s="1"/>
  <c r="M69" i="35" s="1"/>
  <c r="T5" i="35"/>
  <c r="Q5" i="35"/>
  <c r="E68" i="35" s="1"/>
  <c r="N5" i="35"/>
  <c r="E23" i="13"/>
  <c r="J10" i="37"/>
  <c r="D186" i="4"/>
  <c r="D187" i="4"/>
  <c r="D185" i="4"/>
  <c r="D160" i="4"/>
  <c r="S160" i="4" s="1"/>
  <c r="P160" i="4" s="1"/>
  <c r="N160" i="4" s="1"/>
  <c r="D159" i="4"/>
  <c r="S159" i="4" s="1"/>
  <c r="P159" i="4" s="1"/>
  <c r="N159" i="4" s="1"/>
  <c r="D158" i="4"/>
  <c r="S158" i="4" s="1"/>
  <c r="P158" i="4" s="1"/>
  <c r="N158" i="4" s="1"/>
  <c r="D156" i="4"/>
  <c r="S156" i="4" s="1"/>
  <c r="P156" i="4" s="1"/>
  <c r="N156" i="4" s="1"/>
  <c r="K158" i="4"/>
  <c r="M158" i="4" s="1"/>
  <c r="K160" i="4"/>
  <c r="M160" i="4" s="1"/>
  <c r="K159" i="4"/>
  <c r="M159" i="4" s="1"/>
  <c r="K156" i="4"/>
  <c r="M156" i="4" s="1"/>
  <c r="AB55" i="13" l="1"/>
  <c r="AB54" i="13" s="1"/>
  <c r="AG55" i="13"/>
  <c r="C18" i="18"/>
  <c r="N15" i="23"/>
  <c r="E38" i="37"/>
  <c r="E37" i="37"/>
  <c r="N14" i="23"/>
  <c r="AC28" i="13"/>
  <c r="AD28" i="13" s="1"/>
  <c r="AE28" i="13" s="1"/>
  <c r="W28" i="13"/>
  <c r="V28" i="13"/>
  <c r="Z28" i="13" s="1"/>
  <c r="U28" i="13"/>
  <c r="V29" i="13"/>
  <c r="Z29" i="13" s="1"/>
  <c r="U29" i="13"/>
  <c r="AC29" i="13"/>
  <c r="AD29" i="13" s="1"/>
  <c r="AE29" i="13" s="1"/>
  <c r="W29" i="13"/>
  <c r="O145" i="4"/>
  <c r="Q145" i="4" s="1"/>
  <c r="F145" i="4" s="1"/>
  <c r="U51" i="13"/>
  <c r="S51" i="13"/>
  <c r="O158" i="4"/>
  <c r="Q158" i="4" s="1"/>
  <c r="F158" i="4" s="1"/>
  <c r="O156" i="4"/>
  <c r="Q156" i="4" s="1"/>
  <c r="F156" i="4" s="1"/>
  <c r="O159" i="4"/>
  <c r="Q159" i="4" s="1"/>
  <c r="F159" i="4" s="1"/>
  <c r="O160" i="4"/>
  <c r="Q160" i="4" s="1"/>
  <c r="F160" i="4" s="1"/>
  <c r="O26" i="13"/>
  <c r="O25" i="13"/>
  <c r="O24" i="13"/>
  <c r="L26" i="13"/>
  <c r="L25" i="13"/>
  <c r="L24" i="13"/>
  <c r="D178" i="4"/>
  <c r="D144" i="4"/>
  <c r="S144" i="4" s="1"/>
  <c r="P144" i="4" s="1"/>
  <c r="N144" i="4" s="1"/>
  <c r="D177" i="4"/>
  <c r="D143" i="4"/>
  <c r="S143" i="4" s="1"/>
  <c r="P143" i="4" s="1"/>
  <c r="N143" i="4" s="1"/>
  <c r="D142" i="4"/>
  <c r="S142" i="4" s="1"/>
  <c r="P142" i="4" s="1"/>
  <c r="N142" i="4" s="1"/>
  <c r="D141" i="4"/>
  <c r="S141" i="4" s="1"/>
  <c r="P141" i="4" s="1"/>
  <c r="N141" i="4" s="1"/>
  <c r="K143" i="4"/>
  <c r="M143" i="4" s="1"/>
  <c r="K142" i="4"/>
  <c r="M142" i="4" s="1"/>
  <c r="K144" i="4"/>
  <c r="M144" i="4" s="1"/>
  <c r="K141" i="4"/>
  <c r="M141" i="4" s="1"/>
  <c r="AA100" i="13" l="1"/>
  <c r="AA98" i="13"/>
  <c r="AB56" i="13"/>
  <c r="AG54" i="13"/>
  <c r="AA99" i="13"/>
  <c r="O143" i="4"/>
  <c r="Q143" i="4" s="1"/>
  <c r="F143" i="4" s="1"/>
  <c r="O142" i="4"/>
  <c r="Q142" i="4" s="1"/>
  <c r="F142" i="4" s="1"/>
  <c r="O141" i="4"/>
  <c r="Q141" i="4" s="1"/>
  <c r="F141" i="4" s="1"/>
  <c r="O144" i="4"/>
  <c r="Q144" i="4" s="1"/>
  <c r="F144" i="4" s="1"/>
  <c r="F60" i="37"/>
  <c r="F62" i="37" s="1"/>
  <c r="AA22" i="13" l="1"/>
  <c r="AA23" i="13"/>
  <c r="U60" i="37"/>
  <c r="Q60" i="37"/>
  <c r="S60" i="37" s="1"/>
  <c r="K60" i="37"/>
  <c r="N60" i="37" l="1"/>
  <c r="L60" i="37"/>
  <c r="D15" i="18" s="1"/>
  <c r="L62" i="37" l="1"/>
  <c r="O60" i="37"/>
  <c r="C15" i="18" s="1"/>
  <c r="P60" i="37" l="1"/>
  <c r="P62" i="37" s="1"/>
  <c r="O62" i="37"/>
  <c r="AD18" i="16"/>
  <c r="AC18" i="16"/>
  <c r="AD17" i="16"/>
  <c r="AC17" i="16"/>
  <c r="AD16" i="16"/>
  <c r="D194" i="4"/>
  <c r="D193" i="4"/>
  <c r="D172" i="4"/>
  <c r="D170" i="4"/>
  <c r="D169" i="4"/>
  <c r="D168" i="4"/>
  <c r="E25" i="23"/>
  <c r="J25" i="23"/>
  <c r="A65" i="13"/>
  <c r="B65" i="13"/>
  <c r="C72" i="37" s="1"/>
  <c r="C65" i="13"/>
  <c r="D72" i="37" s="1"/>
  <c r="D65" i="13"/>
  <c r="E65" i="13"/>
  <c r="H66" i="13"/>
  <c r="H78" i="37" s="1"/>
  <c r="G78" i="37"/>
  <c r="E66" i="13"/>
  <c r="C26" i="23" s="1"/>
  <c r="H26" i="23" s="1"/>
  <c r="D66" i="13"/>
  <c r="C66" i="13"/>
  <c r="D76" i="37" s="1"/>
  <c r="B66" i="13"/>
  <c r="A66" i="13"/>
  <c r="B163" i="4" s="1"/>
  <c r="Y65" i="13"/>
  <c r="Y66" i="13"/>
  <c r="Y67" i="13" s="1"/>
  <c r="I90" i="36"/>
  <c r="I91" i="36"/>
  <c r="I92" i="36"/>
  <c r="I93" i="36"/>
  <c r="I89" i="36"/>
  <c r="E89" i="36"/>
  <c r="H71" i="36"/>
  <c r="F71" i="36"/>
  <c r="Q6" i="36"/>
  <c r="Q13" i="36" s="1"/>
  <c r="P6" i="36"/>
  <c r="N6" i="36"/>
  <c r="N13" i="36" s="1"/>
  <c r="E13" i="36"/>
  <c r="F52" i="36"/>
  <c r="I51" i="36"/>
  <c r="I53" i="36" s="1"/>
  <c r="E51" i="36"/>
  <c r="F51" i="36" s="1"/>
  <c r="F50" i="36"/>
  <c r="D77" i="16"/>
  <c r="C77" i="16"/>
  <c r="B77" i="16"/>
  <c r="A77" i="16"/>
  <c r="J26" i="23"/>
  <c r="E26" i="23"/>
  <c r="H32" i="9"/>
  <c r="I32" i="9" s="1"/>
  <c r="J32" i="9" s="1"/>
  <c r="V30" i="16" s="1"/>
  <c r="AA30" i="16" s="1"/>
  <c r="I81" i="13" s="1"/>
  <c r="M81" i="13" s="1"/>
  <c r="H30" i="9"/>
  <c r="I30" i="9" s="1"/>
  <c r="J30" i="9" s="1"/>
  <c r="V27" i="16" s="1"/>
  <c r="B30" i="9"/>
  <c r="A30" i="9"/>
  <c r="H29" i="9"/>
  <c r="I29" i="9" s="1"/>
  <c r="J29" i="9" s="1"/>
  <c r="V28" i="16" s="1"/>
  <c r="B29" i="9"/>
  <c r="A29" i="9"/>
  <c r="B13" i="36"/>
  <c r="A13" i="36"/>
  <c r="Y27" i="16"/>
  <c r="X27" i="16"/>
  <c r="U27" i="16"/>
  <c r="L27" i="16"/>
  <c r="F65" i="13" s="1"/>
  <c r="Y28" i="16"/>
  <c r="X28" i="16"/>
  <c r="U28" i="16"/>
  <c r="L28" i="16"/>
  <c r="C22" i="35"/>
  <c r="C20" i="35"/>
  <c r="C19" i="35"/>
  <c r="C18" i="35"/>
  <c r="C17" i="35"/>
  <c r="H22" i="35"/>
  <c r="T11" i="35"/>
  <c r="T8" i="35"/>
  <c r="T9" i="35"/>
  <c r="K11" i="35"/>
  <c r="C11" i="35"/>
  <c r="Y38" i="16"/>
  <c r="X38" i="16"/>
  <c r="B21" i="9"/>
  <c r="A21" i="9"/>
  <c r="U38" i="16"/>
  <c r="L38" i="16"/>
  <c r="B11" i="35"/>
  <c r="A11" i="35"/>
  <c r="M6" i="36"/>
  <c r="J6" i="36"/>
  <c r="Y13" i="36"/>
  <c r="T13" i="36"/>
  <c r="S13" i="36"/>
  <c r="P13" i="36"/>
  <c r="M13" i="36"/>
  <c r="K13" i="36"/>
  <c r="J13" i="36"/>
  <c r="H13" i="36"/>
  <c r="V38" i="16" l="1"/>
  <c r="S81" i="13"/>
  <c r="T81" i="13" s="1"/>
  <c r="N81" i="13"/>
  <c r="R82" i="13"/>
  <c r="B72" i="37"/>
  <c r="A171" i="4"/>
  <c r="C194" i="4"/>
  <c r="E67" i="13"/>
  <c r="B194" i="4"/>
  <c r="A172" i="4"/>
  <c r="A169" i="4"/>
  <c r="B76" i="37"/>
  <c r="B26" i="23"/>
  <c r="C76" i="37"/>
  <c r="AB28" i="16"/>
  <c r="J66" i="13" s="1"/>
  <c r="P66" i="13" s="1"/>
  <c r="Z28" i="16"/>
  <c r="AA28" i="16" s="1"/>
  <c r="K25" i="23"/>
  <c r="L71" i="36"/>
  <c r="E71" i="36"/>
  <c r="E91" i="36"/>
  <c r="C25" i="23"/>
  <c r="H25" i="23" s="1"/>
  <c r="A194" i="4"/>
  <c r="B193" i="4"/>
  <c r="C193" i="4"/>
  <c r="F66" i="13"/>
  <c r="F67" i="13" s="1"/>
  <c r="B25" i="23"/>
  <c r="D25" i="23"/>
  <c r="R65" i="13"/>
  <c r="A193" i="4"/>
  <c r="A25" i="23"/>
  <c r="A168" i="4"/>
  <c r="A26" i="23"/>
  <c r="A88" i="36"/>
  <c r="A170" i="4"/>
  <c r="A71" i="36"/>
  <c r="D22" i="36"/>
  <c r="K26" i="23"/>
  <c r="V99" i="13"/>
  <c r="Z99" i="13" s="1"/>
  <c r="S100" i="13"/>
  <c r="S99" i="13"/>
  <c r="S98" i="13"/>
  <c r="A99" i="13"/>
  <c r="B99" i="13"/>
  <c r="C99" i="13"/>
  <c r="E99" i="13"/>
  <c r="C33" i="23" s="1"/>
  <c r="H33" i="23" s="1"/>
  <c r="G99" i="13"/>
  <c r="H99" i="13"/>
  <c r="A100" i="13"/>
  <c r="A34" i="23" s="1"/>
  <c r="B100" i="13"/>
  <c r="C100" i="13"/>
  <c r="E100" i="13"/>
  <c r="C34" i="23" s="1"/>
  <c r="H34" i="23" s="1"/>
  <c r="G100" i="13"/>
  <c r="H100" i="13"/>
  <c r="H98" i="13"/>
  <c r="G98" i="13"/>
  <c r="E98" i="13"/>
  <c r="C32" i="23" s="1"/>
  <c r="H32" i="23" s="1"/>
  <c r="C98" i="13"/>
  <c r="B98" i="13"/>
  <c r="A98" i="13"/>
  <c r="A32" i="23" s="1"/>
  <c r="J28" i="23"/>
  <c r="H26" i="9"/>
  <c r="I26" i="9" s="1"/>
  <c r="J26" i="9" s="1"/>
  <c r="H25" i="9"/>
  <c r="I25" i="9" s="1"/>
  <c r="J25" i="9" s="1"/>
  <c r="Y36" i="16"/>
  <c r="U36" i="16"/>
  <c r="L36" i="16"/>
  <c r="Y35" i="16"/>
  <c r="X35" i="16"/>
  <c r="U35" i="16"/>
  <c r="L35" i="16"/>
  <c r="Y34" i="16"/>
  <c r="X34" i="16"/>
  <c r="U34" i="16"/>
  <c r="L34" i="16"/>
  <c r="N28" i="23" l="1"/>
  <c r="E90" i="37"/>
  <c r="C26" i="21"/>
  <c r="E26" i="21" s="1"/>
  <c r="B34" i="23"/>
  <c r="B33" i="23"/>
  <c r="B32" i="23"/>
  <c r="A33" i="23"/>
  <c r="W81" i="13"/>
  <c r="V81" i="13"/>
  <c r="Z81" i="13" s="1"/>
  <c r="R83" i="13"/>
  <c r="F98" i="13"/>
  <c r="A157" i="4"/>
  <c r="A161" i="4"/>
  <c r="A156" i="4"/>
  <c r="B158" i="4"/>
  <c r="A185" i="4"/>
  <c r="B185" i="4"/>
  <c r="C186" i="4"/>
  <c r="F186" i="4" s="1"/>
  <c r="AB99" i="13" s="1"/>
  <c r="C185" i="4"/>
  <c r="F185" i="4" s="1"/>
  <c r="AC50" i="13" s="1"/>
  <c r="AD50" i="13" s="1"/>
  <c r="AE50" i="13" s="1"/>
  <c r="B159" i="4"/>
  <c r="A160" i="4"/>
  <c r="A187" i="4"/>
  <c r="A158" i="4"/>
  <c r="A186" i="4"/>
  <c r="B156" i="4"/>
  <c r="A159" i="4"/>
  <c r="B160" i="4"/>
  <c r="H28" i="23"/>
  <c r="C187" i="4"/>
  <c r="F187" i="4" s="1"/>
  <c r="B187" i="4"/>
  <c r="B186" i="4"/>
  <c r="F99" i="13"/>
  <c r="Z35" i="16"/>
  <c r="AB35" i="16"/>
  <c r="R66" i="13"/>
  <c r="R67" i="13" s="1"/>
  <c r="M71" i="36"/>
  <c r="W6" i="36" s="1"/>
  <c r="D26" i="23"/>
  <c r="Q66" i="13"/>
  <c r="F100" i="13"/>
  <c r="D34" i="23" s="1"/>
  <c r="K28" i="23"/>
  <c r="X36" i="16"/>
  <c r="E82" i="36"/>
  <c r="E83" i="36"/>
  <c r="H67" i="36"/>
  <c r="F67" i="36"/>
  <c r="E66" i="36"/>
  <c r="E67" i="36"/>
  <c r="Y11" i="36"/>
  <c r="Q4" i="36"/>
  <c r="Q11" i="36" s="1"/>
  <c r="N4" i="36"/>
  <c r="N11" i="36" s="1"/>
  <c r="E4" i="36"/>
  <c r="E11" i="36" s="1"/>
  <c r="C11" i="36"/>
  <c r="C4" i="36"/>
  <c r="B4" i="36"/>
  <c r="B11" i="36" s="1"/>
  <c r="A4" i="36"/>
  <c r="A80" i="36" s="1"/>
  <c r="I85" i="36"/>
  <c r="I84" i="36"/>
  <c r="I83" i="36"/>
  <c r="I82" i="36"/>
  <c r="I81" i="36"/>
  <c r="E81" i="36"/>
  <c r="H66" i="36"/>
  <c r="F66" i="36"/>
  <c r="F63" i="36"/>
  <c r="I62" i="36"/>
  <c r="E62" i="36"/>
  <c r="F62" i="36" s="1"/>
  <c r="F61" i="36"/>
  <c r="F58" i="36"/>
  <c r="I57" i="36"/>
  <c r="E57" i="36"/>
  <c r="F57" i="36" s="1"/>
  <c r="I56" i="36"/>
  <c r="E56" i="36"/>
  <c r="F56" i="36" s="1"/>
  <c r="F55" i="36"/>
  <c r="F47" i="36"/>
  <c r="I46" i="36"/>
  <c r="I48" i="36" s="1"/>
  <c r="E46" i="36"/>
  <c r="F46" i="36" s="1"/>
  <c r="E22" i="36" s="1"/>
  <c r="F45" i="36"/>
  <c r="F42" i="36"/>
  <c r="I41" i="36"/>
  <c r="I43" i="36" s="1"/>
  <c r="E41" i="36"/>
  <c r="F41" i="36" s="1"/>
  <c r="F40" i="36"/>
  <c r="F37" i="36"/>
  <c r="I36" i="36"/>
  <c r="E36" i="36"/>
  <c r="F36" i="36" s="1"/>
  <c r="I35" i="36"/>
  <c r="E35" i="36"/>
  <c r="F35" i="36" s="1"/>
  <c r="F34" i="36"/>
  <c r="E31" i="36"/>
  <c r="F31" i="36" s="1"/>
  <c r="I30" i="36"/>
  <c r="E30" i="36"/>
  <c r="F30" i="36" s="1"/>
  <c r="E29" i="36"/>
  <c r="F29" i="36" s="1"/>
  <c r="F28" i="36"/>
  <c r="E23" i="36"/>
  <c r="R6" i="36" s="1"/>
  <c r="S11" i="36"/>
  <c r="P11" i="36"/>
  <c r="M11" i="36"/>
  <c r="K11" i="36"/>
  <c r="J11" i="36"/>
  <c r="T11" i="36"/>
  <c r="P4" i="36"/>
  <c r="M4" i="36"/>
  <c r="J4" i="36"/>
  <c r="D181" i="4"/>
  <c r="D154" i="4"/>
  <c r="D153" i="4"/>
  <c r="D152" i="4"/>
  <c r="D151" i="4"/>
  <c r="D150" i="4"/>
  <c r="K148" i="4"/>
  <c r="M148" i="4" s="1"/>
  <c r="D148" i="4"/>
  <c r="S148" i="4" s="1"/>
  <c r="P148" i="4" s="1"/>
  <c r="N148" i="4" s="1"/>
  <c r="K147" i="4"/>
  <c r="M147" i="4" s="1"/>
  <c r="D147" i="4"/>
  <c r="S147" i="4" s="1"/>
  <c r="P147" i="4" s="1"/>
  <c r="N147" i="4" s="1"/>
  <c r="A151" i="4"/>
  <c r="B181" i="4"/>
  <c r="C181" i="4"/>
  <c r="A20" i="23"/>
  <c r="B20" i="23"/>
  <c r="C20" i="23"/>
  <c r="A21" i="23"/>
  <c r="B21" i="23"/>
  <c r="C21" i="23"/>
  <c r="A26" i="13"/>
  <c r="B26" i="13"/>
  <c r="C26" i="13"/>
  <c r="D25" i="37" s="1"/>
  <c r="D26" i="13"/>
  <c r="E26" i="13"/>
  <c r="C12" i="23" s="1"/>
  <c r="G26" i="13"/>
  <c r="H26" i="13"/>
  <c r="A18" i="23"/>
  <c r="B18" i="23"/>
  <c r="C18" i="23"/>
  <c r="A22" i="13"/>
  <c r="B22" i="37" s="1"/>
  <c r="B22" i="13"/>
  <c r="C22" i="37" s="1"/>
  <c r="C22" i="13"/>
  <c r="D22" i="37" s="1"/>
  <c r="D22" i="13"/>
  <c r="E22" i="13"/>
  <c r="G22" i="13"/>
  <c r="G27" i="37" s="1"/>
  <c r="H22" i="13"/>
  <c r="H27" i="37" s="1"/>
  <c r="A10" i="23"/>
  <c r="B10" i="23"/>
  <c r="C10" i="23"/>
  <c r="A25" i="13"/>
  <c r="B25" i="13"/>
  <c r="C25" i="13"/>
  <c r="D24" i="37" s="1"/>
  <c r="D25" i="13"/>
  <c r="E25" i="13"/>
  <c r="C11" i="23" s="1"/>
  <c r="G25" i="13"/>
  <c r="H25" i="13"/>
  <c r="A145" i="4"/>
  <c r="H23" i="9"/>
  <c r="I23" i="9" s="1"/>
  <c r="J23" i="9" s="1"/>
  <c r="I115" i="35"/>
  <c r="I114" i="35"/>
  <c r="I113" i="35"/>
  <c r="I112" i="35"/>
  <c r="I111" i="35"/>
  <c r="E111" i="35"/>
  <c r="A110" i="35"/>
  <c r="N22" i="35"/>
  <c r="Q22" i="35"/>
  <c r="P22" i="35"/>
  <c r="M22" i="35"/>
  <c r="K22" i="35"/>
  <c r="J22" i="35"/>
  <c r="E22" i="35"/>
  <c r="T22" i="35"/>
  <c r="P11" i="35"/>
  <c r="M11" i="35"/>
  <c r="L113" i="35" s="1"/>
  <c r="N113" i="35" s="1"/>
  <c r="O113" i="35" s="1"/>
  <c r="J11" i="35"/>
  <c r="B22" i="35"/>
  <c r="A22" i="35"/>
  <c r="T20" i="35"/>
  <c r="T19" i="35"/>
  <c r="P20" i="35"/>
  <c r="N20" i="35"/>
  <c r="M20" i="35"/>
  <c r="K20" i="35"/>
  <c r="J20" i="35"/>
  <c r="E20" i="35"/>
  <c r="P19" i="35"/>
  <c r="M19" i="35"/>
  <c r="K19" i="35"/>
  <c r="J19" i="35"/>
  <c r="E19" i="35"/>
  <c r="Q20" i="35"/>
  <c r="P9" i="35"/>
  <c r="M9" i="35"/>
  <c r="J9" i="35"/>
  <c r="H9" i="35"/>
  <c r="H20" i="35" s="1"/>
  <c r="C9" i="35"/>
  <c r="B9" i="35"/>
  <c r="B20" i="35" s="1"/>
  <c r="A9" i="35"/>
  <c r="A20" i="35" s="1"/>
  <c r="Q19" i="35"/>
  <c r="P8" i="35"/>
  <c r="N19" i="35"/>
  <c r="M8" i="35"/>
  <c r="J8" i="35"/>
  <c r="H8" i="35"/>
  <c r="H19" i="35" s="1"/>
  <c r="C8" i="35"/>
  <c r="B8" i="35"/>
  <c r="B19" i="35" s="1"/>
  <c r="A8" i="35"/>
  <c r="A19" i="35" s="1"/>
  <c r="I105" i="35"/>
  <c r="I104" i="35"/>
  <c r="I103" i="35"/>
  <c r="I102" i="35"/>
  <c r="I101" i="35"/>
  <c r="I97" i="35"/>
  <c r="I96" i="35"/>
  <c r="I95" i="35"/>
  <c r="I94" i="35"/>
  <c r="I93" i="35"/>
  <c r="E101" i="35"/>
  <c r="E93" i="35"/>
  <c r="W6" i="35"/>
  <c r="H71" i="35"/>
  <c r="F71" i="35"/>
  <c r="T7" i="35"/>
  <c r="T18" i="35" s="1"/>
  <c r="T6" i="35"/>
  <c r="T17" i="35" s="1"/>
  <c r="Q7" i="35"/>
  <c r="E71" i="35" s="1"/>
  <c r="N7" i="35"/>
  <c r="N18" i="35" s="1"/>
  <c r="N6" i="35"/>
  <c r="N17" i="35" s="1"/>
  <c r="F65" i="35"/>
  <c r="I64" i="35"/>
  <c r="E64" i="35"/>
  <c r="F64" i="35" s="1"/>
  <c r="F63" i="35"/>
  <c r="H7" i="35"/>
  <c r="H18" i="35" s="1"/>
  <c r="H6" i="35"/>
  <c r="P18" i="35"/>
  <c r="M18" i="35"/>
  <c r="K18" i="35"/>
  <c r="J18" i="35"/>
  <c r="E18" i="35"/>
  <c r="P17" i="35"/>
  <c r="M17" i="35"/>
  <c r="K17" i="35"/>
  <c r="J17" i="35"/>
  <c r="P7" i="35"/>
  <c r="M7" i="35"/>
  <c r="J7" i="35"/>
  <c r="C7" i="35"/>
  <c r="B7" i="35"/>
  <c r="B18" i="35" s="1"/>
  <c r="A7" i="35"/>
  <c r="A18" i="35" s="1"/>
  <c r="Q17" i="35"/>
  <c r="P6" i="35"/>
  <c r="M6" i="35"/>
  <c r="J6" i="35"/>
  <c r="C6" i="35"/>
  <c r="B6" i="35"/>
  <c r="B17" i="35" s="1"/>
  <c r="A6" i="35"/>
  <c r="A17" i="35" s="1"/>
  <c r="W23" i="16"/>
  <c r="W20" i="16"/>
  <c r="I86" i="35"/>
  <c r="I87" i="35"/>
  <c r="I88" i="35"/>
  <c r="I89" i="35"/>
  <c r="I85" i="35"/>
  <c r="E85" i="35"/>
  <c r="C15" i="35"/>
  <c r="C16" i="35"/>
  <c r="T4" i="35"/>
  <c r="T15" i="35" s="1"/>
  <c r="N4" i="35"/>
  <c r="N15" i="35" s="1"/>
  <c r="S15" i="35"/>
  <c r="P15" i="35"/>
  <c r="M15" i="35"/>
  <c r="K15" i="35"/>
  <c r="J15" i="35"/>
  <c r="H15" i="35"/>
  <c r="Q15" i="35"/>
  <c r="P4" i="35"/>
  <c r="M4" i="35"/>
  <c r="J4" i="35"/>
  <c r="E4" i="35"/>
  <c r="E15" i="35" s="1"/>
  <c r="C4" i="35"/>
  <c r="B4" i="35"/>
  <c r="B15" i="35" s="1"/>
  <c r="A4" i="35"/>
  <c r="T16" i="35"/>
  <c r="S16" i="35"/>
  <c r="E48" i="35"/>
  <c r="F48" i="35" s="1"/>
  <c r="N16" i="35"/>
  <c r="B121" i="35"/>
  <c r="B123" i="35" s="1"/>
  <c r="B124" i="35" s="1"/>
  <c r="P16" i="35"/>
  <c r="I59" i="35"/>
  <c r="E59" i="35"/>
  <c r="F59" i="35" s="1"/>
  <c r="I43" i="35"/>
  <c r="E43" i="35"/>
  <c r="F43" i="35" s="1"/>
  <c r="F68" i="35"/>
  <c r="P5" i="35"/>
  <c r="E5" i="35"/>
  <c r="H5" i="35" s="1"/>
  <c r="C5" i="35"/>
  <c r="B5" i="35"/>
  <c r="B16" i="35" s="1"/>
  <c r="A5" i="35"/>
  <c r="A68" i="35" s="1"/>
  <c r="I81" i="35"/>
  <c r="I80" i="35"/>
  <c r="I79" i="35"/>
  <c r="I78" i="35"/>
  <c r="I77" i="35"/>
  <c r="H68" i="35"/>
  <c r="F60" i="35"/>
  <c r="I58" i="35"/>
  <c r="E58" i="35"/>
  <c r="F58" i="35" s="1"/>
  <c r="F57" i="35"/>
  <c r="F54" i="35"/>
  <c r="I53" i="35"/>
  <c r="I55" i="35" s="1"/>
  <c r="E53" i="35"/>
  <c r="F53" i="35" s="1"/>
  <c r="F52" i="35"/>
  <c r="F49" i="35"/>
  <c r="I48" i="35"/>
  <c r="F47" i="35"/>
  <c r="F44" i="35"/>
  <c r="I42" i="35"/>
  <c r="E42" i="35"/>
  <c r="F42" i="35" s="1"/>
  <c r="F41" i="35"/>
  <c r="E38" i="35"/>
  <c r="F38" i="35" s="1"/>
  <c r="I37" i="35"/>
  <c r="E37" i="35"/>
  <c r="F37" i="35" s="1"/>
  <c r="E36" i="35"/>
  <c r="F36" i="35" s="1"/>
  <c r="F35" i="35"/>
  <c r="E30" i="35"/>
  <c r="M16" i="35"/>
  <c r="J16" i="35"/>
  <c r="M5" i="35"/>
  <c r="J5" i="35"/>
  <c r="H10" i="9"/>
  <c r="I10" i="9" s="1"/>
  <c r="H8" i="9"/>
  <c r="I8" i="9" s="1"/>
  <c r="R99" i="13" l="1"/>
  <c r="D33" i="23"/>
  <c r="R98" i="13"/>
  <c r="T98" i="13" s="1"/>
  <c r="N32" i="23" s="1"/>
  <c r="D32" i="23"/>
  <c r="F84" i="13"/>
  <c r="AC99" i="13"/>
  <c r="AD99" i="13" s="1"/>
  <c r="AB100" i="13"/>
  <c r="AB98" i="13"/>
  <c r="AC81" i="13"/>
  <c r="AD81" i="13" s="1"/>
  <c r="H26" i="21" s="1"/>
  <c r="J26" i="21" s="1"/>
  <c r="J99" i="13"/>
  <c r="E17" i="29"/>
  <c r="A11" i="23"/>
  <c r="B24" i="37"/>
  <c r="A12" i="23"/>
  <c r="B25" i="37"/>
  <c r="B12" i="23"/>
  <c r="C25" i="37"/>
  <c r="B11" i="23"/>
  <c r="C24" i="37"/>
  <c r="E31" i="13"/>
  <c r="A15" i="35"/>
  <c r="A8" i="23"/>
  <c r="A142" i="4"/>
  <c r="B144" i="4"/>
  <c r="A143" i="4"/>
  <c r="A141" i="4"/>
  <c r="A177" i="4"/>
  <c r="B8" i="23"/>
  <c r="B177" i="4"/>
  <c r="A9" i="23"/>
  <c r="B143" i="4"/>
  <c r="A178" i="4"/>
  <c r="A144" i="4"/>
  <c r="B9" i="23"/>
  <c r="B178" i="4"/>
  <c r="C8" i="23"/>
  <c r="C177" i="4"/>
  <c r="F177" i="4" s="1"/>
  <c r="AB22" i="13" s="1"/>
  <c r="R11" i="35"/>
  <c r="C9" i="23"/>
  <c r="C178" i="4"/>
  <c r="F178" i="4" s="1"/>
  <c r="W99" i="13"/>
  <c r="L90" i="36"/>
  <c r="N90" i="36" s="1"/>
  <c r="O90" i="36" s="1"/>
  <c r="L92" i="36"/>
  <c r="N92" i="36" s="1"/>
  <c r="O92" i="36" s="1"/>
  <c r="L93" i="36"/>
  <c r="N93" i="36" s="1"/>
  <c r="O93" i="36" s="1"/>
  <c r="L89" i="36"/>
  <c r="N89" i="36" s="1"/>
  <c r="O89" i="36" s="1"/>
  <c r="L81" i="36"/>
  <c r="N81" i="36" s="1"/>
  <c r="O81" i="36" s="1"/>
  <c r="L91" i="36"/>
  <c r="N91" i="36" s="1"/>
  <c r="O91" i="36" s="1"/>
  <c r="O6" i="36"/>
  <c r="K92" i="36"/>
  <c r="K93" i="36"/>
  <c r="K90" i="36"/>
  <c r="K91" i="36"/>
  <c r="U66" i="13"/>
  <c r="U67" i="13" s="1"/>
  <c r="W66" i="13"/>
  <c r="V66" i="13"/>
  <c r="R100" i="13"/>
  <c r="R13" i="36"/>
  <c r="H17" i="35"/>
  <c r="B153" i="4"/>
  <c r="B154" i="4"/>
  <c r="B152" i="4"/>
  <c r="B148" i="4"/>
  <c r="L67" i="36"/>
  <c r="M67" i="36" s="1"/>
  <c r="D20" i="36"/>
  <c r="E20" i="36" s="1"/>
  <c r="D21" i="36"/>
  <c r="E21" i="36" s="1"/>
  <c r="L66" i="36"/>
  <c r="M66" i="36" s="1"/>
  <c r="I38" i="36"/>
  <c r="L83" i="36"/>
  <c r="N83" i="36" s="1"/>
  <c r="O83" i="36" s="1"/>
  <c r="L84" i="36"/>
  <c r="N84" i="36" s="1"/>
  <c r="O84" i="36" s="1"/>
  <c r="D25" i="36"/>
  <c r="E25" i="36" s="1"/>
  <c r="L85" i="36"/>
  <c r="N85" i="36" s="1"/>
  <c r="O85" i="36" s="1"/>
  <c r="D18" i="36"/>
  <c r="E18" i="36" s="1"/>
  <c r="R11" i="36"/>
  <c r="A11" i="36"/>
  <c r="I59" i="36"/>
  <c r="D24" i="36"/>
  <c r="E24" i="36" s="1"/>
  <c r="L82" i="36"/>
  <c r="N82" i="36" s="1"/>
  <c r="O82" i="36" s="1"/>
  <c r="D19" i="36"/>
  <c r="E19" i="36" s="1"/>
  <c r="H94" i="36" s="1"/>
  <c r="A66" i="36"/>
  <c r="R4" i="36"/>
  <c r="H11" i="36"/>
  <c r="B147" i="4"/>
  <c r="C19" i="23"/>
  <c r="B19" i="23"/>
  <c r="A181" i="4"/>
  <c r="A19" i="23"/>
  <c r="B150" i="4"/>
  <c r="F181" i="4"/>
  <c r="B151" i="4"/>
  <c r="L111" i="35"/>
  <c r="N111" i="35" s="1"/>
  <c r="O111" i="35" s="1"/>
  <c r="O148" i="4"/>
  <c r="Q148" i="4" s="1"/>
  <c r="F148" i="4" s="1"/>
  <c r="O147" i="4"/>
  <c r="Q147" i="4" s="1"/>
  <c r="F147" i="4" s="1"/>
  <c r="L86" i="35"/>
  <c r="N86" i="35" s="1"/>
  <c r="O86" i="35" s="1"/>
  <c r="L96" i="35"/>
  <c r="N96" i="35" s="1"/>
  <c r="O96" i="35" s="1"/>
  <c r="L105" i="35"/>
  <c r="N105" i="35" s="1"/>
  <c r="O105" i="35" s="1"/>
  <c r="L85" i="35"/>
  <c r="N85" i="35" s="1"/>
  <c r="O85" i="35" s="1"/>
  <c r="L102" i="35"/>
  <c r="N102" i="35" s="1"/>
  <c r="O102" i="35" s="1"/>
  <c r="L112" i="35"/>
  <c r="N112" i="35" s="1"/>
  <c r="O112" i="35" s="1"/>
  <c r="L95" i="35"/>
  <c r="N95" i="35" s="1"/>
  <c r="O95" i="35" s="1"/>
  <c r="L94" i="35"/>
  <c r="N94" i="35" s="1"/>
  <c r="O94" i="35" s="1"/>
  <c r="L104" i="35"/>
  <c r="N104" i="35" s="1"/>
  <c r="O104" i="35" s="1"/>
  <c r="L103" i="35"/>
  <c r="N103" i="35" s="1"/>
  <c r="O103" i="35" s="1"/>
  <c r="L89" i="35"/>
  <c r="N89" i="35" s="1"/>
  <c r="O89" i="35" s="1"/>
  <c r="L88" i="35"/>
  <c r="N88" i="35" s="1"/>
  <c r="O88" i="35" s="1"/>
  <c r="L115" i="35"/>
  <c r="N115" i="35" s="1"/>
  <c r="O115" i="35" s="1"/>
  <c r="L87" i="35"/>
  <c r="N87" i="35" s="1"/>
  <c r="O87" i="35" s="1"/>
  <c r="L93" i="35"/>
  <c r="N93" i="35" s="1"/>
  <c r="O93" i="35" s="1"/>
  <c r="L114" i="35"/>
  <c r="N114" i="35" s="1"/>
  <c r="O114" i="35" s="1"/>
  <c r="L97" i="35"/>
  <c r="N97" i="35" s="1"/>
  <c r="O97" i="35" s="1"/>
  <c r="L101" i="35"/>
  <c r="N101" i="35" s="1"/>
  <c r="O101" i="35" s="1"/>
  <c r="R22" i="35"/>
  <c r="R19" i="35"/>
  <c r="R20" i="35"/>
  <c r="R9" i="35"/>
  <c r="L71" i="35"/>
  <c r="M71" i="35" s="1"/>
  <c r="W7" i="35" s="1"/>
  <c r="R8" i="35"/>
  <c r="A92" i="35"/>
  <c r="A100" i="35"/>
  <c r="E103" i="35"/>
  <c r="E95" i="35"/>
  <c r="Q18" i="35"/>
  <c r="R18" i="35" s="1"/>
  <c r="D32" i="35"/>
  <c r="E32" i="35" s="1"/>
  <c r="I6" i="35" s="1"/>
  <c r="A71" i="35"/>
  <c r="A70" i="35"/>
  <c r="I61" i="35"/>
  <c r="R17" i="35"/>
  <c r="E17" i="35"/>
  <c r="R6" i="35"/>
  <c r="R7" i="35"/>
  <c r="W4" i="35"/>
  <c r="E87" i="35"/>
  <c r="A84" i="35"/>
  <c r="R15" i="35"/>
  <c r="R4" i="35"/>
  <c r="B125" i="35"/>
  <c r="R5" i="35"/>
  <c r="L77" i="35"/>
  <c r="N77" i="35" s="1"/>
  <c r="O77" i="35" s="1"/>
  <c r="L79" i="35"/>
  <c r="N79" i="35" s="1"/>
  <c r="O79" i="35" s="1"/>
  <c r="Q16" i="35"/>
  <c r="R16" i="35" s="1"/>
  <c r="L78" i="35"/>
  <c r="N78" i="35" s="1"/>
  <c r="O78" i="35" s="1"/>
  <c r="L68" i="35"/>
  <c r="M68" i="35" s="1"/>
  <c r="W5" i="35" s="1"/>
  <c r="L80" i="35"/>
  <c r="N80" i="35" s="1"/>
  <c r="O80" i="35" s="1"/>
  <c r="L81" i="35"/>
  <c r="N81" i="35" s="1"/>
  <c r="O81" i="35" s="1"/>
  <c r="H16" i="35"/>
  <c r="E16" i="35"/>
  <c r="I45" i="35"/>
  <c r="D27" i="35"/>
  <c r="E27" i="35" s="1"/>
  <c r="D31" i="35"/>
  <c r="E31" i="35" s="1"/>
  <c r="D29" i="35"/>
  <c r="E29" i="35" s="1"/>
  <c r="D28" i="35"/>
  <c r="E28" i="35" s="1"/>
  <c r="I50" i="35"/>
  <c r="D26" i="35"/>
  <c r="E26" i="35" s="1"/>
  <c r="A16" i="35"/>
  <c r="A76" i="35"/>
  <c r="H5" i="9"/>
  <c r="I5" i="9" s="1"/>
  <c r="AB46" i="13" l="1"/>
  <c r="R84" i="13"/>
  <c r="AB84" i="13"/>
  <c r="AB23" i="13"/>
  <c r="AB31" i="13" s="1"/>
  <c r="I17" i="35"/>
  <c r="G94" i="36"/>
  <c r="F94" i="36"/>
  <c r="Z66" i="13"/>
  <c r="P89" i="36"/>
  <c r="K89" i="36"/>
  <c r="P90" i="36"/>
  <c r="P93" i="36"/>
  <c r="P91" i="36"/>
  <c r="P92" i="36"/>
  <c r="I6" i="36"/>
  <c r="L6" i="36"/>
  <c r="I13" i="36"/>
  <c r="F13" i="36"/>
  <c r="O13" i="36"/>
  <c r="L13" i="36"/>
  <c r="U13" i="36"/>
  <c r="U11" i="36"/>
  <c r="F86" i="36"/>
  <c r="K83" i="36"/>
  <c r="P85" i="36"/>
  <c r="O11" i="36"/>
  <c r="P83" i="36"/>
  <c r="K84" i="36"/>
  <c r="O4" i="36"/>
  <c r="P84" i="36"/>
  <c r="W4" i="36"/>
  <c r="P82" i="36"/>
  <c r="G86" i="36"/>
  <c r="H86" i="36"/>
  <c r="K85" i="36"/>
  <c r="K82" i="36"/>
  <c r="I11" i="36"/>
  <c r="F11" i="36"/>
  <c r="I4" i="36"/>
  <c r="P81" i="36"/>
  <c r="K81" i="36"/>
  <c r="L11" i="36"/>
  <c r="L4" i="36"/>
  <c r="N19" i="23"/>
  <c r="G116" i="35"/>
  <c r="H116" i="35"/>
  <c r="F116" i="35"/>
  <c r="P111" i="35"/>
  <c r="K111" i="35"/>
  <c r="O22" i="35"/>
  <c r="K114" i="35"/>
  <c r="K112" i="35"/>
  <c r="P115" i="35"/>
  <c r="P113" i="35"/>
  <c r="K115" i="35"/>
  <c r="K113" i="35"/>
  <c r="P114" i="35"/>
  <c r="P112" i="35"/>
  <c r="F20" i="35"/>
  <c r="F22" i="35"/>
  <c r="I11" i="35"/>
  <c r="I22" i="35"/>
  <c r="U11" i="35"/>
  <c r="U22" i="35"/>
  <c r="L11" i="35"/>
  <c r="L22" i="35"/>
  <c r="O20" i="35"/>
  <c r="O11" i="35"/>
  <c r="I19" i="35"/>
  <c r="I20" i="35"/>
  <c r="U19" i="35"/>
  <c r="U20" i="35"/>
  <c r="L19" i="35"/>
  <c r="L20" i="35"/>
  <c r="O9" i="35"/>
  <c r="O19" i="35"/>
  <c r="F18" i="35"/>
  <c r="F19" i="35"/>
  <c r="I8" i="35"/>
  <c r="I9" i="35"/>
  <c r="U8" i="35"/>
  <c r="U9" i="35"/>
  <c r="L8" i="35"/>
  <c r="L9" i="35"/>
  <c r="O8" i="35"/>
  <c r="H106" i="35"/>
  <c r="F106" i="35"/>
  <c r="G98" i="35"/>
  <c r="F98" i="35"/>
  <c r="H98" i="35"/>
  <c r="G106" i="35"/>
  <c r="P102" i="35"/>
  <c r="K104" i="35"/>
  <c r="K102" i="35"/>
  <c r="P105" i="35"/>
  <c r="P103" i="35"/>
  <c r="K105" i="35"/>
  <c r="K103" i="35"/>
  <c r="P104" i="35"/>
  <c r="P101" i="35"/>
  <c r="K101" i="35"/>
  <c r="P94" i="35"/>
  <c r="K96" i="35"/>
  <c r="K94" i="35"/>
  <c r="P97" i="35"/>
  <c r="P95" i="35"/>
  <c r="K97" i="35"/>
  <c r="K95" i="35"/>
  <c r="P96" i="35"/>
  <c r="L18" i="35"/>
  <c r="P93" i="35"/>
  <c r="K93" i="35"/>
  <c r="U7" i="35"/>
  <c r="U6" i="35"/>
  <c r="I7" i="35"/>
  <c r="I18" i="35"/>
  <c r="O17" i="35"/>
  <c r="O18" i="35"/>
  <c r="U17" i="35"/>
  <c r="U18" i="35"/>
  <c r="F17" i="35"/>
  <c r="L7" i="35"/>
  <c r="L17" i="35"/>
  <c r="O6" i="35"/>
  <c r="O7" i="35"/>
  <c r="L6" i="35"/>
  <c r="F15" i="35"/>
  <c r="I15" i="35"/>
  <c r="F90" i="35"/>
  <c r="G90" i="35"/>
  <c r="H90" i="35"/>
  <c r="P85" i="35"/>
  <c r="K85" i="35"/>
  <c r="K88" i="35"/>
  <c r="K86" i="35"/>
  <c r="P89" i="35"/>
  <c r="P87" i="35"/>
  <c r="K89" i="35"/>
  <c r="K87" i="35"/>
  <c r="P88" i="35"/>
  <c r="P86" i="35"/>
  <c r="U16" i="35"/>
  <c r="U15" i="35"/>
  <c r="O4" i="35"/>
  <c r="O15" i="35"/>
  <c r="L4" i="35"/>
  <c r="L15" i="35"/>
  <c r="I5" i="35"/>
  <c r="I4" i="35"/>
  <c r="K79" i="35"/>
  <c r="F16" i="35"/>
  <c r="I16" i="35"/>
  <c r="P80" i="35"/>
  <c r="K80" i="35"/>
  <c r="K81" i="35"/>
  <c r="O16" i="35"/>
  <c r="P78" i="35"/>
  <c r="P79" i="35"/>
  <c r="P81" i="35"/>
  <c r="O5" i="35"/>
  <c r="K78" i="35"/>
  <c r="K16" i="35"/>
  <c r="L16" i="35" s="1"/>
  <c r="E77" i="35"/>
  <c r="L5" i="35"/>
  <c r="B72" i="30"/>
  <c r="B74" i="30" s="1"/>
  <c r="B75" i="30" s="1"/>
  <c r="E62" i="30"/>
  <c r="E64" i="30"/>
  <c r="E61" i="30"/>
  <c r="E63" i="30"/>
  <c r="I64" i="30"/>
  <c r="I63" i="30"/>
  <c r="I60" i="30"/>
  <c r="H50" i="30"/>
  <c r="F50" i="30"/>
  <c r="S8" i="30"/>
  <c r="J8" i="30"/>
  <c r="H8" i="30"/>
  <c r="E23" i="30"/>
  <c r="F23" i="30" s="1"/>
  <c r="C8" i="30"/>
  <c r="Y8" i="30"/>
  <c r="M8" i="30"/>
  <c r="T4" i="30"/>
  <c r="T8" i="30" s="1"/>
  <c r="E34" i="30"/>
  <c r="I35" i="30"/>
  <c r="E35" i="30"/>
  <c r="F35" i="30" s="1"/>
  <c r="I33" i="30"/>
  <c r="E33" i="30"/>
  <c r="F33" i="30" s="1"/>
  <c r="F46" i="30"/>
  <c r="I45" i="30"/>
  <c r="E45" i="30"/>
  <c r="F45" i="30" s="1"/>
  <c r="I27" i="30"/>
  <c r="F28" i="30"/>
  <c r="E27" i="30"/>
  <c r="F27" i="30" s="1"/>
  <c r="B76" i="30" l="1"/>
  <c r="V6" i="36"/>
  <c r="X6" i="36"/>
  <c r="K94" i="36"/>
  <c r="P94" i="36"/>
  <c r="Z13" i="36"/>
  <c r="AA13" i="36" s="1"/>
  <c r="K86" i="36"/>
  <c r="X4" i="36"/>
  <c r="P86" i="36"/>
  <c r="V4" i="36"/>
  <c r="Z11" i="36"/>
  <c r="X11" i="35"/>
  <c r="V11" i="35"/>
  <c r="K116" i="35"/>
  <c r="P116" i="35"/>
  <c r="Z22" i="35"/>
  <c r="AA22" i="35" s="1"/>
  <c r="AC22" i="35" s="1"/>
  <c r="Z19" i="35"/>
  <c r="AB19" i="35" s="1"/>
  <c r="Z20" i="35"/>
  <c r="V7" i="35"/>
  <c r="X7" i="35"/>
  <c r="X6" i="35"/>
  <c r="V6" i="35"/>
  <c r="P106" i="35"/>
  <c r="K106" i="35"/>
  <c r="K98" i="35"/>
  <c r="P98" i="35"/>
  <c r="Z18" i="35"/>
  <c r="Z17" i="35"/>
  <c r="V4" i="35"/>
  <c r="X4" i="35"/>
  <c r="P90" i="35"/>
  <c r="K90" i="35"/>
  <c r="Z15" i="35"/>
  <c r="X5" i="35"/>
  <c r="Z16" i="35"/>
  <c r="H82" i="35"/>
  <c r="G82" i="35"/>
  <c r="K77" i="35"/>
  <c r="K82" i="35" s="1"/>
  <c r="F82" i="35"/>
  <c r="P77" i="35"/>
  <c r="P82" i="35" s="1"/>
  <c r="L50" i="30"/>
  <c r="M50" i="30" s="1"/>
  <c r="N4" i="30"/>
  <c r="N8" i="30" s="1"/>
  <c r="J4" i="30"/>
  <c r="E4" i="30"/>
  <c r="C4" i="30"/>
  <c r="B4" i="30"/>
  <c r="B8" i="30" s="1"/>
  <c r="A4" i="30"/>
  <c r="M4" i="30"/>
  <c r="H4" i="9"/>
  <c r="Y8" i="16"/>
  <c r="X8" i="16"/>
  <c r="U8" i="16"/>
  <c r="L8" i="16"/>
  <c r="Z6" i="36" l="1"/>
  <c r="AD10" i="16"/>
  <c r="AD26" i="16"/>
  <c r="Z4" i="36"/>
  <c r="Z11" i="35"/>
  <c r="AA11" i="35" s="1"/>
  <c r="AB20" i="35"/>
  <c r="AB22" i="35"/>
  <c r="Z8" i="35"/>
  <c r="Z9" i="35"/>
  <c r="AB18" i="35"/>
  <c r="Z7" i="35"/>
  <c r="AB17" i="35"/>
  <c r="Z6" i="35"/>
  <c r="Z4" i="35"/>
  <c r="L63" i="30"/>
  <c r="N63" i="30" s="1"/>
  <c r="O63" i="30" s="1"/>
  <c r="AB15" i="35"/>
  <c r="AB16" i="35"/>
  <c r="V5" i="35"/>
  <c r="Z5" i="35" s="1"/>
  <c r="L64" i="30"/>
  <c r="N64" i="30" s="1"/>
  <c r="O64" i="30" s="1"/>
  <c r="L60" i="30"/>
  <c r="A50" i="30"/>
  <c r="A59" i="30"/>
  <c r="A8" i="30"/>
  <c r="K4" i="30"/>
  <c r="E8" i="30"/>
  <c r="AA6" i="36" l="1"/>
  <c r="AB31" i="16"/>
  <c r="J82" i="13" s="1"/>
  <c r="E20" i="29"/>
  <c r="D27" i="18" s="1"/>
  <c r="AC10" i="16"/>
  <c r="K8" i="30"/>
  <c r="E60" i="30"/>
  <c r="E72" i="16"/>
  <c r="D72" i="16"/>
  <c r="C72" i="16"/>
  <c r="B72" i="16"/>
  <c r="A72" i="16"/>
  <c r="E71" i="16"/>
  <c r="D71" i="16"/>
  <c r="C71" i="16"/>
  <c r="B71" i="16"/>
  <c r="A71" i="16"/>
  <c r="E70" i="16"/>
  <c r="D70" i="16"/>
  <c r="C70" i="16"/>
  <c r="B70" i="16"/>
  <c r="A70" i="16"/>
  <c r="E69" i="16"/>
  <c r="D69" i="16"/>
  <c r="C69" i="16"/>
  <c r="B69" i="16"/>
  <c r="A69" i="16"/>
  <c r="Z31" i="16" l="1"/>
  <c r="AA31" i="16" s="1"/>
  <c r="I82" i="13" s="1"/>
  <c r="C27" i="18"/>
  <c r="P82" i="13"/>
  <c r="Q82" i="13" s="1"/>
  <c r="K18" i="21" l="1"/>
  <c r="P18" i="21" s="1"/>
  <c r="K19" i="21"/>
  <c r="P19" i="21" s="1"/>
  <c r="Q19" i="21" s="1"/>
  <c r="K23" i="21"/>
  <c r="P23" i="21" s="1"/>
  <c r="K24" i="21"/>
  <c r="P24" i="21" s="1"/>
  <c r="Q24" i="21" s="1"/>
  <c r="K26" i="21"/>
  <c r="P26" i="21" s="1"/>
  <c r="Q26" i="21" s="1"/>
  <c r="K27" i="21"/>
  <c r="P27" i="21" s="1"/>
  <c r="K28" i="21"/>
  <c r="P28" i="21" s="1"/>
  <c r="K9" i="21"/>
  <c r="P9" i="21" s="1"/>
  <c r="Q9" i="21" s="1"/>
  <c r="K10" i="21"/>
  <c r="P10" i="21" s="1"/>
  <c r="Q10" i="21" s="1"/>
  <c r="K11" i="21"/>
  <c r="P11" i="21" s="1"/>
  <c r="Q11" i="21" s="1"/>
  <c r="K12" i="21"/>
  <c r="P12" i="21" s="1"/>
  <c r="Q12" i="21" s="1"/>
  <c r="K13" i="21"/>
  <c r="P13" i="21" s="1"/>
  <c r="Q13" i="21" s="1"/>
  <c r="K14" i="21"/>
  <c r="P14" i="21" s="1"/>
  <c r="Q14" i="21" s="1"/>
  <c r="K16" i="21"/>
  <c r="P16" i="21" s="1"/>
  <c r="Q16" i="21" s="1"/>
  <c r="K17" i="21"/>
  <c r="P17" i="21" s="1"/>
  <c r="Q17" i="21" s="1"/>
  <c r="H9" i="9"/>
  <c r="I9" i="9" s="1"/>
  <c r="J8" i="9" s="1"/>
  <c r="J11" i="9" l="1"/>
  <c r="J17" i="9"/>
  <c r="V12" i="16" l="1"/>
  <c r="V23" i="16"/>
  <c r="V15" i="16"/>
  <c r="V11" i="16"/>
  <c r="H7" i="9"/>
  <c r="I7" i="9" s="1"/>
  <c r="J7" i="9" s="1"/>
  <c r="V10" i="16" s="1"/>
  <c r="H12" i="9"/>
  <c r="I12" i="9" s="1"/>
  <c r="J12" i="9" s="1"/>
  <c r="V13" i="16" s="1"/>
  <c r="J13" i="9"/>
  <c r="V14" i="16" s="1"/>
  <c r="H14" i="9"/>
  <c r="I14" i="9" s="1"/>
  <c r="J14" i="9" s="1"/>
  <c r="V20" i="16" s="1"/>
  <c r="H15" i="9"/>
  <c r="I15" i="9" s="1"/>
  <c r="J15" i="9" s="1"/>
  <c r="V21" i="16" s="1"/>
  <c r="H16" i="9"/>
  <c r="I16" i="9" s="1"/>
  <c r="J16" i="9" s="1"/>
  <c r="V22" i="16" s="1"/>
  <c r="H27" i="9"/>
  <c r="I27" i="9" s="1"/>
  <c r="I4" i="9"/>
  <c r="A8" i="9"/>
  <c r="B8" i="9"/>
  <c r="A7" i="9"/>
  <c r="B7" i="9"/>
  <c r="A11" i="9"/>
  <c r="B11" i="9"/>
  <c r="A12" i="9"/>
  <c r="B12" i="9"/>
  <c r="A13" i="9"/>
  <c r="B13" i="9"/>
  <c r="A14" i="9"/>
  <c r="B14" i="9"/>
  <c r="A15" i="9"/>
  <c r="B15" i="9"/>
  <c r="A16" i="9"/>
  <c r="B16" i="9"/>
  <c r="A17" i="9"/>
  <c r="B17" i="9"/>
  <c r="A23" i="9"/>
  <c r="B23" i="9"/>
  <c r="A25" i="9"/>
  <c r="B25" i="9"/>
  <c r="A26" i="9"/>
  <c r="B26" i="9"/>
  <c r="A27" i="9"/>
  <c r="B27" i="9"/>
  <c r="B4" i="9"/>
  <c r="A4" i="9"/>
  <c r="J4" i="9" l="1"/>
  <c r="V35" i="16"/>
  <c r="AA35" i="16" s="1"/>
  <c r="V34" i="16"/>
  <c r="J27" i="9"/>
  <c r="V36" i="16" s="1"/>
  <c r="V8" i="16" l="1"/>
  <c r="J37" i="9"/>
  <c r="H17" i="29"/>
  <c r="O17" i="29" s="1"/>
  <c r="I17" i="29"/>
  <c r="X17" i="29" s="1"/>
  <c r="M82" i="13"/>
  <c r="E16" i="30"/>
  <c r="N60" i="30"/>
  <c r="O60" i="30" s="1"/>
  <c r="S82" i="13" l="1"/>
  <c r="N82" i="13"/>
  <c r="Y25" i="13"/>
  <c r="Y24" i="13"/>
  <c r="S152" i="4"/>
  <c r="P152" i="4" s="1"/>
  <c r="N152" i="4" s="1"/>
  <c r="X101" i="13"/>
  <c r="AG105" i="13" s="1"/>
  <c r="Y100" i="13"/>
  <c r="Y98" i="13"/>
  <c r="S172" i="4"/>
  <c r="P172" i="4" s="1"/>
  <c r="N172" i="4" s="1"/>
  <c r="S170" i="4"/>
  <c r="S169" i="4"/>
  <c r="S168" i="4"/>
  <c r="K172" i="4"/>
  <c r="M172" i="4" s="1"/>
  <c r="K170" i="4"/>
  <c r="M170" i="4" s="1"/>
  <c r="K169" i="4"/>
  <c r="M169" i="4" s="1"/>
  <c r="K168" i="4"/>
  <c r="M168" i="4" s="1"/>
  <c r="Y30" i="13"/>
  <c r="D180" i="4"/>
  <c r="D182" i="4"/>
  <c r="D183" i="4"/>
  <c r="S151" i="4"/>
  <c r="P151" i="4" s="1"/>
  <c r="N151" i="4" s="1"/>
  <c r="D149" i="4"/>
  <c r="S149" i="4" s="1"/>
  <c r="P149" i="4" s="1"/>
  <c r="N149" i="4" s="1"/>
  <c r="S150" i="4"/>
  <c r="P150" i="4" s="1"/>
  <c r="N150" i="4" s="1"/>
  <c r="S153" i="4"/>
  <c r="P153" i="4" s="1"/>
  <c r="N153" i="4" s="1"/>
  <c r="S154" i="4"/>
  <c r="P154" i="4" s="1"/>
  <c r="N154" i="4" s="1"/>
  <c r="K151" i="4"/>
  <c r="M151" i="4" s="1"/>
  <c r="K152" i="4"/>
  <c r="M152" i="4" s="1"/>
  <c r="K149" i="4"/>
  <c r="M149" i="4" s="1"/>
  <c r="K150" i="4"/>
  <c r="M150" i="4" s="1"/>
  <c r="K153" i="4"/>
  <c r="M153" i="4" s="1"/>
  <c r="K154" i="4"/>
  <c r="M154" i="4" s="1"/>
  <c r="Y26" i="13"/>
  <c r="Y22" i="13"/>
  <c r="B183" i="4"/>
  <c r="C183" i="4"/>
  <c r="B180" i="4"/>
  <c r="C180" i="4"/>
  <c r="C182" i="4"/>
  <c r="Y23" i="13"/>
  <c r="N29" i="23" l="1"/>
  <c r="C27" i="21"/>
  <c r="E27" i="21" s="1"/>
  <c r="E94" i="37"/>
  <c r="AB105" i="13"/>
  <c r="AB104" i="13" s="1"/>
  <c r="W82" i="13"/>
  <c r="V82" i="13"/>
  <c r="Z82" i="13" s="1"/>
  <c r="Y31" i="13"/>
  <c r="A154" i="4"/>
  <c r="A182" i="4"/>
  <c r="E101" i="13"/>
  <c r="F194" i="4"/>
  <c r="AB65" i="13" s="1"/>
  <c r="F193" i="4"/>
  <c r="AB66" i="13" s="1"/>
  <c r="P168" i="4"/>
  <c r="N168" i="4" s="1"/>
  <c r="O168" i="4" s="1"/>
  <c r="Q168" i="4" s="1"/>
  <c r="F168" i="4" s="1"/>
  <c r="P169" i="4"/>
  <c r="N169" i="4" s="1"/>
  <c r="O169" i="4" s="1"/>
  <c r="Q169" i="4" s="1"/>
  <c r="F169" i="4" s="1"/>
  <c r="P170" i="4"/>
  <c r="N170" i="4" s="1"/>
  <c r="O170" i="4" s="1"/>
  <c r="Q170" i="4" s="1"/>
  <c r="F170" i="4" s="1"/>
  <c r="O172" i="4"/>
  <c r="Q172" i="4" s="1"/>
  <c r="F172" i="4" s="1"/>
  <c r="F180" i="4"/>
  <c r="F183" i="4"/>
  <c r="A153" i="4"/>
  <c r="B182" i="4"/>
  <c r="A150" i="4"/>
  <c r="A149" i="4"/>
  <c r="A152" i="4"/>
  <c r="B149" i="4"/>
  <c r="A180" i="4"/>
  <c r="A147" i="4"/>
  <c r="A148" i="4"/>
  <c r="A183" i="4"/>
  <c r="F182" i="4"/>
  <c r="O149" i="4"/>
  <c r="Q149" i="4" s="1"/>
  <c r="F149" i="4" s="1"/>
  <c r="O153" i="4"/>
  <c r="Q153" i="4" s="1"/>
  <c r="F153" i="4" s="1"/>
  <c r="O151" i="4"/>
  <c r="Q151" i="4" s="1"/>
  <c r="F151" i="4" s="1"/>
  <c r="AA46" i="13" s="1"/>
  <c r="AC46" i="13" s="1"/>
  <c r="AD46" i="13" s="1"/>
  <c r="O150" i="4"/>
  <c r="Q150" i="4" s="1"/>
  <c r="F150" i="4" s="1"/>
  <c r="O154" i="4"/>
  <c r="Q154" i="4" s="1"/>
  <c r="F154" i="4" s="1"/>
  <c r="AC49" i="13" s="1"/>
  <c r="O152" i="4"/>
  <c r="Q152" i="4" s="1"/>
  <c r="F152" i="4" s="1"/>
  <c r="AD49" i="13" l="1"/>
  <c r="AC51" i="13"/>
  <c r="AA47" i="13"/>
  <c r="AB48" i="13"/>
  <c r="AB47" i="13"/>
  <c r="AC47" i="13" s="1"/>
  <c r="AD47" i="13" s="1"/>
  <c r="AB45" i="13"/>
  <c r="AB67" i="13"/>
  <c r="AE46" i="13"/>
  <c r="H17" i="21"/>
  <c r="AA48" i="13"/>
  <c r="AA45" i="13"/>
  <c r="AA66" i="13"/>
  <c r="AC66" i="13" s="1"/>
  <c r="AD66" i="13" s="1"/>
  <c r="AA65" i="13"/>
  <c r="AA26" i="13"/>
  <c r="AA31" i="13" s="1"/>
  <c r="Q27" i="21"/>
  <c r="J21" i="23"/>
  <c r="E21" i="23"/>
  <c r="J20" i="23"/>
  <c r="E20" i="23"/>
  <c r="J19" i="23"/>
  <c r="E19" i="23"/>
  <c r="J18" i="23"/>
  <c r="E18" i="23"/>
  <c r="J12" i="23"/>
  <c r="E12" i="23"/>
  <c r="J11" i="23"/>
  <c r="E11" i="23"/>
  <c r="J10" i="23"/>
  <c r="E10" i="23"/>
  <c r="J8" i="23"/>
  <c r="E8" i="23"/>
  <c r="J9" i="23"/>
  <c r="E9" i="23"/>
  <c r="Q23" i="21"/>
  <c r="Q28" i="21"/>
  <c r="AE49" i="13" l="1"/>
  <c r="AD51" i="13"/>
  <c r="K11" i="23"/>
  <c r="AC48" i="13"/>
  <c r="AD48" i="13" s="1"/>
  <c r="AE48" i="13" s="1"/>
  <c r="AC82" i="13"/>
  <c r="AD82" i="13" s="1"/>
  <c r="H27" i="21" s="1"/>
  <c r="J27" i="21" s="1"/>
  <c r="AA84" i="13"/>
  <c r="AA67" i="13"/>
  <c r="AE66" i="13"/>
  <c r="AE67" i="13" s="1"/>
  <c r="H24" i="21"/>
  <c r="AE47" i="13"/>
  <c r="H18" i="21"/>
  <c r="AC45" i="13"/>
  <c r="G27" i="21"/>
  <c r="Q18" i="21"/>
  <c r="G26" i="21"/>
  <c r="G19" i="21"/>
  <c r="K10" i="23"/>
  <c r="K8" i="23"/>
  <c r="K18" i="23"/>
  <c r="X8" i="13"/>
  <c r="AG12" i="13" s="1"/>
  <c r="K12" i="23"/>
  <c r="K9" i="23"/>
  <c r="K20" i="23"/>
  <c r="K19" i="23"/>
  <c r="K21" i="23"/>
  <c r="H19" i="21" l="1"/>
  <c r="AD45" i="13"/>
  <c r="H16" i="21" l="1"/>
  <c r="AE45" i="13"/>
  <c r="H19" i="23" l="1"/>
  <c r="H11" i="23"/>
  <c r="H8" i="23"/>
  <c r="H20" i="23"/>
  <c r="H10" i="23"/>
  <c r="H12" i="23"/>
  <c r="H18" i="23"/>
  <c r="H9" i="23"/>
  <c r="H21" i="23"/>
  <c r="X12" i="16"/>
  <c r="Y12" i="16"/>
  <c r="X10" i="16"/>
  <c r="Y10" i="16"/>
  <c r="X14" i="16"/>
  <c r="Y14" i="16"/>
  <c r="X20" i="16"/>
  <c r="Y20" i="16"/>
  <c r="X21" i="16"/>
  <c r="Y21" i="16"/>
  <c r="X22" i="16"/>
  <c r="Y22" i="16"/>
  <c r="X15" i="16"/>
  <c r="Y15" i="16"/>
  <c r="X23" i="16"/>
  <c r="Y23" i="16"/>
  <c r="X11" i="16"/>
  <c r="Y11" i="16"/>
  <c r="X13" i="16"/>
  <c r="Y13" i="16"/>
  <c r="U15" i="16"/>
  <c r="U23" i="16"/>
  <c r="U11" i="16"/>
  <c r="U13" i="16"/>
  <c r="U12" i="16"/>
  <c r="U10" i="16"/>
  <c r="U14" i="16"/>
  <c r="U20" i="16"/>
  <c r="U21" i="16"/>
  <c r="U22" i="16"/>
  <c r="L15" i="16"/>
  <c r="F27" i="13" s="1"/>
  <c r="L23" i="16"/>
  <c r="L11" i="16"/>
  <c r="L13" i="16"/>
  <c r="F25" i="13" s="1"/>
  <c r="D11" i="23" s="1"/>
  <c r="L12" i="16"/>
  <c r="L10" i="16"/>
  <c r="F22" i="13" s="1"/>
  <c r="L14" i="16"/>
  <c r="F26" i="13" s="1"/>
  <c r="D12" i="23" s="1"/>
  <c r="L20" i="16"/>
  <c r="L21" i="16"/>
  <c r="F46" i="13" s="1"/>
  <c r="L22" i="16"/>
  <c r="D13" i="23" l="1"/>
  <c r="R27" i="13"/>
  <c r="F23" i="13"/>
  <c r="D9" i="23" s="1"/>
  <c r="F24" i="13"/>
  <c r="R24" i="13" s="1"/>
  <c r="AG56" i="13"/>
  <c r="F48" i="13"/>
  <c r="F47" i="13"/>
  <c r="R46" i="13"/>
  <c r="W46" i="13"/>
  <c r="F45" i="13"/>
  <c r="D18" i="23" s="1"/>
  <c r="D8" i="23"/>
  <c r="AA11" i="36"/>
  <c r="AD13" i="16" s="1"/>
  <c r="AB15" i="16" s="1"/>
  <c r="AA4" i="36"/>
  <c r="AC13" i="16" s="1"/>
  <c r="Z15" i="16" s="1"/>
  <c r="D19" i="23"/>
  <c r="AA18" i="35"/>
  <c r="AC18" i="35"/>
  <c r="AA7" i="35"/>
  <c r="AA17" i="35"/>
  <c r="AA6" i="35"/>
  <c r="AC17" i="35"/>
  <c r="AC19" i="35"/>
  <c r="AA19" i="35"/>
  <c r="AA8" i="35"/>
  <c r="AA20" i="35"/>
  <c r="AA9" i="35"/>
  <c r="AC12" i="16" s="1"/>
  <c r="AC20" i="35"/>
  <c r="AD12" i="16" s="1"/>
  <c r="AA15" i="35"/>
  <c r="AC15" i="35"/>
  <c r="AD4" i="16" s="1"/>
  <c r="AA4" i="35"/>
  <c r="AC4" i="16" s="1"/>
  <c r="AA16" i="35"/>
  <c r="AA5" i="35"/>
  <c r="AC16" i="35"/>
  <c r="R25" i="13"/>
  <c r="R26" i="13"/>
  <c r="R22" i="13"/>
  <c r="I61" i="30"/>
  <c r="L61" i="30" s="1"/>
  <c r="N61" i="30" s="1"/>
  <c r="O61" i="30" s="1"/>
  <c r="I62" i="30"/>
  <c r="L62" i="30" s="1"/>
  <c r="N62" i="30" s="1"/>
  <c r="O62" i="30" s="1"/>
  <c r="E40" i="30"/>
  <c r="F40" i="30" s="1"/>
  <c r="F74" i="16" l="1"/>
  <c r="F73" i="16"/>
  <c r="J27" i="13"/>
  <c r="E7" i="29"/>
  <c r="D23" i="18" s="1"/>
  <c r="C23" i="18" s="1"/>
  <c r="F70" i="16"/>
  <c r="F69" i="16"/>
  <c r="F71" i="16"/>
  <c r="F72" i="16"/>
  <c r="S27" i="13"/>
  <c r="T27" i="13" s="1"/>
  <c r="C14" i="21" s="1"/>
  <c r="E14" i="21" s="1"/>
  <c r="L20" i="23"/>
  <c r="L21" i="23"/>
  <c r="L18" i="23"/>
  <c r="L19" i="23"/>
  <c r="D10" i="23"/>
  <c r="R30" i="13"/>
  <c r="F31" i="13"/>
  <c r="R47" i="13"/>
  <c r="W47" i="13"/>
  <c r="D20" i="23"/>
  <c r="R48" i="13"/>
  <c r="W48" i="13"/>
  <c r="R45" i="13"/>
  <c r="W45" i="13"/>
  <c r="D21" i="23"/>
  <c r="AC9" i="16"/>
  <c r="Z21" i="16" s="1"/>
  <c r="AD9" i="16"/>
  <c r="AB21" i="16" s="1"/>
  <c r="AD7" i="16"/>
  <c r="AD8" i="16"/>
  <c r="AB14" i="16" s="1"/>
  <c r="J26" i="13" s="1"/>
  <c r="P26" i="13" s="1"/>
  <c r="Q26" i="13" s="1"/>
  <c r="AC8" i="16"/>
  <c r="Z14" i="16" s="1"/>
  <c r="AC7" i="16"/>
  <c r="AD3" i="16"/>
  <c r="AB11" i="16" s="1"/>
  <c r="J23" i="13" s="1"/>
  <c r="AC3" i="16"/>
  <c r="Z11" i="16" s="1"/>
  <c r="Z10" i="16"/>
  <c r="I66" i="13"/>
  <c r="AB10" i="16"/>
  <c r="J22" i="13" s="1"/>
  <c r="AB23" i="16"/>
  <c r="Z20" i="16"/>
  <c r="H20" i="29"/>
  <c r="I99" i="13"/>
  <c r="Z23" i="16"/>
  <c r="AA23" i="16" s="1"/>
  <c r="AB20" i="16"/>
  <c r="F101" i="13"/>
  <c r="R23" i="13"/>
  <c r="AC14" i="16" l="1"/>
  <c r="Z24" i="16"/>
  <c r="AA24" i="16" s="1"/>
  <c r="Z25" i="16"/>
  <c r="AA25" i="16" s="1"/>
  <c r="AB12" i="16"/>
  <c r="J24" i="13" s="1"/>
  <c r="P24" i="13" s="1"/>
  <c r="Q24" i="13" s="1"/>
  <c r="AB24" i="16"/>
  <c r="AB25" i="16"/>
  <c r="Z32" i="16"/>
  <c r="AA32" i="16" s="1"/>
  <c r="I83" i="13" s="1"/>
  <c r="I48" i="13"/>
  <c r="H12" i="29"/>
  <c r="J45" i="13"/>
  <c r="E9" i="29"/>
  <c r="I20" i="29"/>
  <c r="F27" i="18" s="1"/>
  <c r="O20" i="29"/>
  <c r="J48" i="13"/>
  <c r="E12" i="29"/>
  <c r="W12" i="29" s="1"/>
  <c r="J46" i="13"/>
  <c r="E10" i="29"/>
  <c r="W10" i="29" s="1"/>
  <c r="AC27" i="13"/>
  <c r="AD27" i="13" s="1"/>
  <c r="N13" i="23"/>
  <c r="E33" i="37"/>
  <c r="F35" i="37" s="1"/>
  <c r="V27" i="13"/>
  <c r="Z27" i="13" s="1"/>
  <c r="W27" i="13"/>
  <c r="U27" i="13"/>
  <c r="S30" i="13"/>
  <c r="T30" i="13" s="1"/>
  <c r="AB22" i="16"/>
  <c r="E11" i="29" s="1"/>
  <c r="W11" i="29" s="1"/>
  <c r="R51" i="13"/>
  <c r="R31" i="13"/>
  <c r="P22" i="13"/>
  <c r="Q22" i="13" s="1"/>
  <c r="Z12" i="16"/>
  <c r="Z13" i="16"/>
  <c r="Z22" i="16"/>
  <c r="Z36" i="16"/>
  <c r="AA36" i="16" s="1"/>
  <c r="M83" i="13" s="1"/>
  <c r="Z34" i="16"/>
  <c r="AA34" i="16" s="1"/>
  <c r="AD14" i="16"/>
  <c r="AB13" i="16"/>
  <c r="J25" i="13" s="1"/>
  <c r="P25" i="13" s="1"/>
  <c r="Q25" i="13" s="1"/>
  <c r="M66" i="13"/>
  <c r="R101" i="13"/>
  <c r="E13" i="29" l="1"/>
  <c r="W13" i="29" s="1"/>
  <c r="J49" i="13"/>
  <c r="H13" i="29"/>
  <c r="I49" i="13"/>
  <c r="E14" i="29"/>
  <c r="J50" i="13"/>
  <c r="J51" i="13" s="1"/>
  <c r="H14" i="29"/>
  <c r="I50" i="13"/>
  <c r="AB32" i="16"/>
  <c r="J83" i="13" s="1"/>
  <c r="W9" i="29"/>
  <c r="E27" i="18"/>
  <c r="N83" i="13"/>
  <c r="I84" i="13"/>
  <c r="I98" i="13"/>
  <c r="H16" i="29"/>
  <c r="O16" i="29" s="1"/>
  <c r="I12" i="29"/>
  <c r="X12" i="29" s="1"/>
  <c r="O12" i="29"/>
  <c r="I100" i="13"/>
  <c r="H18" i="29"/>
  <c r="O18" i="29" s="1"/>
  <c r="AE27" i="13"/>
  <c r="H14" i="21"/>
  <c r="J14" i="21" s="1"/>
  <c r="E39" i="37"/>
  <c r="F41" i="37" s="1"/>
  <c r="N16" i="23"/>
  <c r="K35" i="37"/>
  <c r="U35" i="37"/>
  <c r="Q35" i="37"/>
  <c r="S35" i="37" s="1"/>
  <c r="J47" i="13"/>
  <c r="AC30" i="13"/>
  <c r="AD30" i="13" s="1"/>
  <c r="AE30" i="13" s="1"/>
  <c r="V30" i="13"/>
  <c r="Z30" i="13" s="1"/>
  <c r="U30" i="13"/>
  <c r="W30" i="13"/>
  <c r="J31" i="13"/>
  <c r="AB36" i="16"/>
  <c r="P83" i="13" s="1"/>
  <c r="Q83" i="13" s="1"/>
  <c r="AB34" i="16"/>
  <c r="N66" i="13"/>
  <c r="S66" i="13"/>
  <c r="J19" i="21"/>
  <c r="L19" i="21" s="1"/>
  <c r="J18" i="21"/>
  <c r="L18" i="21" s="1"/>
  <c r="O13" i="29" l="1"/>
  <c r="I13" i="29"/>
  <c r="X13" i="29" s="1"/>
  <c r="I51" i="13"/>
  <c r="O14" i="29"/>
  <c r="I14" i="29"/>
  <c r="W14" i="29"/>
  <c r="D25" i="18"/>
  <c r="C25" i="18" s="1"/>
  <c r="S83" i="13"/>
  <c r="T83" i="13" s="1"/>
  <c r="M84" i="13"/>
  <c r="J84" i="13"/>
  <c r="J98" i="13"/>
  <c r="E16" i="29"/>
  <c r="J100" i="13"/>
  <c r="E18" i="29"/>
  <c r="I18" i="29"/>
  <c r="X18" i="29" s="1"/>
  <c r="I16" i="29"/>
  <c r="L35" i="37"/>
  <c r="N35" i="37"/>
  <c r="K41" i="37"/>
  <c r="Q41" i="37"/>
  <c r="G18" i="21"/>
  <c r="F47" i="30"/>
  <c r="F44" i="30"/>
  <c r="F41" i="30"/>
  <c r="I40" i="30"/>
  <c r="I42" i="30" s="1"/>
  <c r="F39" i="30"/>
  <c r="F36" i="30"/>
  <c r="I34" i="30"/>
  <c r="I37" i="30" s="1"/>
  <c r="F34" i="30"/>
  <c r="F32" i="30"/>
  <c r="F29" i="30"/>
  <c r="I30" i="30"/>
  <c r="F26" i="30"/>
  <c r="I22" i="30"/>
  <c r="E22" i="30"/>
  <c r="F22" i="30" s="1"/>
  <c r="E21" i="30"/>
  <c r="F21" i="30" s="1"/>
  <c r="F20" i="30"/>
  <c r="R7" i="29"/>
  <c r="R22" i="29" s="1"/>
  <c r="Q7" i="29"/>
  <c r="Q22" i="29" s="1"/>
  <c r="X14" i="29" l="1"/>
  <c r="F25" i="18"/>
  <c r="X16" i="29"/>
  <c r="F35" i="18"/>
  <c r="O35" i="37"/>
  <c r="P35" i="37" s="1"/>
  <c r="D11" i="18"/>
  <c r="N30" i="23"/>
  <c r="C28" i="21"/>
  <c r="S84" i="13"/>
  <c r="P84" i="13"/>
  <c r="U83" i="13"/>
  <c r="E95" i="37"/>
  <c r="F97" i="37" s="1"/>
  <c r="V83" i="13"/>
  <c r="Z83" i="13" s="1"/>
  <c r="W83" i="13"/>
  <c r="AC83" i="13"/>
  <c r="AD83" i="13" s="1"/>
  <c r="D12" i="30"/>
  <c r="L41" i="37"/>
  <c r="N41" i="37"/>
  <c r="D15" i="30"/>
  <c r="E15" i="30" s="1"/>
  <c r="D13" i="30"/>
  <c r="E12" i="30"/>
  <c r="D14" i="30"/>
  <c r="E14" i="30" s="1"/>
  <c r="D17" i="30"/>
  <c r="E17" i="30" s="1"/>
  <c r="E28" i="21" l="1"/>
  <c r="G28" i="21" s="1"/>
  <c r="O41" i="37"/>
  <c r="D12" i="18"/>
  <c r="C11" i="18"/>
  <c r="E35" i="18"/>
  <c r="E37" i="18" s="1"/>
  <c r="F37" i="18"/>
  <c r="AE83" i="13"/>
  <c r="H28" i="21"/>
  <c r="J28" i="21" s="1"/>
  <c r="F92" i="37"/>
  <c r="F99" i="37" s="1"/>
  <c r="T84" i="13"/>
  <c r="AB86" i="13" s="1"/>
  <c r="U84" i="13"/>
  <c r="Q97" i="37"/>
  <c r="S97" i="37" s="1"/>
  <c r="U97" i="37"/>
  <c r="K97" i="37"/>
  <c r="N97" i="37" s="1"/>
  <c r="P41" i="37"/>
  <c r="C12" i="18"/>
  <c r="U8" i="30"/>
  <c r="F8" i="30"/>
  <c r="P64" i="30"/>
  <c r="P63" i="30"/>
  <c r="K62" i="30"/>
  <c r="K61" i="30"/>
  <c r="K63" i="30"/>
  <c r="K64" i="30"/>
  <c r="P62" i="30"/>
  <c r="I4" i="30"/>
  <c r="I8" i="30"/>
  <c r="O4" i="30"/>
  <c r="O8" i="30"/>
  <c r="E13" i="30"/>
  <c r="P61" i="30"/>
  <c r="AC84" i="13" l="1"/>
  <c r="L97" i="37"/>
  <c r="V84" i="13"/>
  <c r="K92" i="37"/>
  <c r="N92" i="37" s="1"/>
  <c r="Q92" i="37"/>
  <c r="S92" i="37" s="1"/>
  <c r="U92" i="37"/>
  <c r="F65" i="30"/>
  <c r="X4" i="30"/>
  <c r="H65" i="30"/>
  <c r="G65" i="30"/>
  <c r="K60" i="30"/>
  <c r="K65" i="30" s="1"/>
  <c r="P60" i="30"/>
  <c r="L4" i="30"/>
  <c r="L8" i="30"/>
  <c r="Z8" i="30" s="1"/>
  <c r="O97" i="37" l="1"/>
  <c r="P97" i="37" s="1"/>
  <c r="D33" i="18"/>
  <c r="L92" i="37"/>
  <c r="D32" i="18" s="1"/>
  <c r="Y84" i="13"/>
  <c r="Z84" i="13"/>
  <c r="AD84" i="13"/>
  <c r="AA8" i="30"/>
  <c r="AB8" i="30"/>
  <c r="AC8" i="30" s="1"/>
  <c r="AD2" i="16" s="1"/>
  <c r="V4" i="30"/>
  <c r="Z4" i="30" s="1"/>
  <c r="AA4" i="30" s="1"/>
  <c r="AC2" i="16" s="1"/>
  <c r="P65" i="30"/>
  <c r="D37" i="18" l="1"/>
  <c r="O92" i="37"/>
  <c r="B32" i="18" s="1"/>
  <c r="L99" i="37"/>
  <c r="AB87" i="13"/>
  <c r="AG87" i="13" s="1"/>
  <c r="B33" i="18"/>
  <c r="E22" i="29"/>
  <c r="AC20" i="16"/>
  <c r="Z27" i="16" s="1"/>
  <c r="AD20" i="16"/>
  <c r="AB27" i="16" s="1"/>
  <c r="J65" i="13" s="1"/>
  <c r="Z8" i="16"/>
  <c r="AB8" i="16"/>
  <c r="J101" i="13"/>
  <c r="P23" i="13"/>
  <c r="P31" i="13" s="1"/>
  <c r="AA14" i="16"/>
  <c r="I26" i="13" s="1"/>
  <c r="AA10" i="16"/>
  <c r="I22" i="13" s="1"/>
  <c r="AA20" i="16"/>
  <c r="AA12" i="16"/>
  <c r="I24" i="13" s="1"/>
  <c r="AA21" i="16"/>
  <c r="AA15" i="16"/>
  <c r="AA11" i="16"/>
  <c r="I23" i="13" s="1"/>
  <c r="AA22" i="16"/>
  <c r="AA13" i="16"/>
  <c r="I25" i="13" s="1"/>
  <c r="B37" i="18" l="1"/>
  <c r="B38" i="18" s="1"/>
  <c r="P92" i="37"/>
  <c r="P99" i="37" s="1"/>
  <c r="O99" i="37"/>
  <c r="AB89" i="13"/>
  <c r="AG89" i="13" s="1"/>
  <c r="I45" i="13"/>
  <c r="H9" i="29"/>
  <c r="P65" i="13"/>
  <c r="P67" i="13" s="1"/>
  <c r="J67" i="13"/>
  <c r="I27" i="13"/>
  <c r="I31" i="13" s="1"/>
  <c r="H7" i="29"/>
  <c r="O7" i="29" s="1"/>
  <c r="I46" i="13"/>
  <c r="H10" i="29"/>
  <c r="I47" i="13"/>
  <c r="H11" i="29"/>
  <c r="AA27" i="16"/>
  <c r="I65" i="13" s="1"/>
  <c r="I67" i="13" s="1"/>
  <c r="M22" i="13"/>
  <c r="M25" i="13"/>
  <c r="S25" i="13" s="1"/>
  <c r="T25" i="13" s="1"/>
  <c r="C12" i="21" s="1"/>
  <c r="E12" i="21" s="1"/>
  <c r="M24" i="13"/>
  <c r="N24" i="13" s="1"/>
  <c r="M26" i="13"/>
  <c r="N26" i="13" s="1"/>
  <c r="AA8" i="16"/>
  <c r="P101" i="13"/>
  <c r="M23" i="13"/>
  <c r="Q23" i="13"/>
  <c r="F81" i="16" l="1"/>
  <c r="F80" i="16"/>
  <c r="F79" i="16"/>
  <c r="L30" i="23"/>
  <c r="M30" i="23" s="1"/>
  <c r="L29" i="23"/>
  <c r="M29" i="23" s="1"/>
  <c r="L28" i="23"/>
  <c r="I7" i="29"/>
  <c r="F23" i="18" s="1"/>
  <c r="H22" i="29"/>
  <c r="I11" i="29"/>
  <c r="X11" i="29" s="1"/>
  <c r="O11" i="29"/>
  <c r="I10" i="29"/>
  <c r="X10" i="29" s="1"/>
  <c r="O10" i="29"/>
  <c r="I9" i="29"/>
  <c r="O9" i="29"/>
  <c r="Q65" i="13"/>
  <c r="N11" i="23"/>
  <c r="E24" i="37"/>
  <c r="N22" i="13"/>
  <c r="M31" i="13"/>
  <c r="M65" i="13"/>
  <c r="M67" i="13" s="1"/>
  <c r="S22" i="13"/>
  <c r="T22" i="13" s="1"/>
  <c r="C9" i="21" s="1"/>
  <c r="E9" i="21" s="1"/>
  <c r="S24" i="13"/>
  <c r="T24" i="13" s="1"/>
  <c r="C11" i="21" s="1"/>
  <c r="E11" i="21" s="1"/>
  <c r="N25" i="13"/>
  <c r="S26" i="13"/>
  <c r="T26" i="13" s="1"/>
  <c r="C13" i="21" s="1"/>
  <c r="E13" i="21" s="1"/>
  <c r="N20" i="23"/>
  <c r="N21" i="23"/>
  <c r="N18" i="23"/>
  <c r="W25" i="13"/>
  <c r="S23" i="13"/>
  <c r="N23" i="13"/>
  <c r="X9" i="29" l="1"/>
  <c r="E25" i="18"/>
  <c r="E23" i="18"/>
  <c r="F29" i="18"/>
  <c r="O22" i="29"/>
  <c r="I22" i="29"/>
  <c r="W26" i="13"/>
  <c r="E25" i="37"/>
  <c r="N10" i="23"/>
  <c r="E23" i="37"/>
  <c r="W22" i="13"/>
  <c r="E22" i="37"/>
  <c r="T23" i="13"/>
  <c r="C10" i="21" s="1"/>
  <c r="E10" i="21" s="1"/>
  <c r="S31" i="13"/>
  <c r="N65" i="13"/>
  <c r="S65" i="13"/>
  <c r="V26" i="13"/>
  <c r="Z26" i="13" s="1"/>
  <c r="U26" i="13"/>
  <c r="N12" i="23"/>
  <c r="AC22" i="13"/>
  <c r="AD22" i="13" s="1"/>
  <c r="U22" i="13"/>
  <c r="N8" i="23"/>
  <c r="V22" i="13"/>
  <c r="Z22" i="13" s="1"/>
  <c r="W24" i="13"/>
  <c r="AC24" i="13"/>
  <c r="AD24" i="13" s="1"/>
  <c r="V24" i="13"/>
  <c r="Z24" i="13" s="1"/>
  <c r="U24" i="13"/>
  <c r="V25" i="13"/>
  <c r="Z25" i="13" s="1"/>
  <c r="U25" i="13"/>
  <c r="G13" i="21"/>
  <c r="G9" i="21"/>
  <c r="G11" i="21"/>
  <c r="J24" i="21"/>
  <c r="L24" i="21" s="1"/>
  <c r="W98" i="13"/>
  <c r="J17" i="21"/>
  <c r="L17" i="21" s="1"/>
  <c r="L27" i="21"/>
  <c r="E29" i="18" l="1"/>
  <c r="F38" i="18"/>
  <c r="S67" i="13"/>
  <c r="AE24" i="13"/>
  <c r="H11" i="21"/>
  <c r="J11" i="21" s="1"/>
  <c r="AE22" i="13"/>
  <c r="H9" i="21"/>
  <c r="F27" i="37"/>
  <c r="Q27" i="37" s="1"/>
  <c r="S27" i="37" s="1"/>
  <c r="T31" i="13"/>
  <c r="E29" i="37"/>
  <c r="F31" i="37" s="1"/>
  <c r="W23" i="13"/>
  <c r="N9" i="23"/>
  <c r="G24" i="21"/>
  <c r="G17" i="21"/>
  <c r="J16" i="21"/>
  <c r="L16" i="21" s="1"/>
  <c r="G16" i="21"/>
  <c r="L14" i="21"/>
  <c r="G14" i="21"/>
  <c r="V23" i="13"/>
  <c r="V31" i="13" s="1"/>
  <c r="U23" i="13"/>
  <c r="U31" i="13" s="1"/>
  <c r="AC23" i="13"/>
  <c r="E38" i="18" l="1"/>
  <c r="T67" i="13"/>
  <c r="AB69" i="13" s="1"/>
  <c r="C23" i="21"/>
  <c r="E23" i="21" s="1"/>
  <c r="G23" i="21" s="1"/>
  <c r="E72" i="37"/>
  <c r="F74" i="37" s="1"/>
  <c r="V65" i="13"/>
  <c r="W65" i="13"/>
  <c r="U65" i="13"/>
  <c r="AC65" i="13"/>
  <c r="K27" i="37"/>
  <c r="L27" i="37" s="1"/>
  <c r="D9" i="18" s="1"/>
  <c r="F43" i="37"/>
  <c r="U27" i="37"/>
  <c r="U31" i="37"/>
  <c r="K31" i="37"/>
  <c r="Q31" i="37"/>
  <c r="S31" i="37" s="1"/>
  <c r="AD23" i="13"/>
  <c r="H10" i="21" s="1"/>
  <c r="J10" i="21" s="1"/>
  <c r="G12" i="21"/>
  <c r="G10" i="21"/>
  <c r="AC98" i="13"/>
  <c r="AD98" i="13" s="1"/>
  <c r="L26" i="21" s="1"/>
  <c r="V98" i="13"/>
  <c r="U98" i="13"/>
  <c r="Z23" i="13"/>
  <c r="Z31" i="13" s="1"/>
  <c r="Z65" i="13" l="1"/>
  <c r="Z67" i="13" s="1"/>
  <c r="V67" i="13"/>
  <c r="U74" i="37"/>
  <c r="Q74" i="37"/>
  <c r="S74" i="37" s="1"/>
  <c r="K74" i="37"/>
  <c r="F80" i="37"/>
  <c r="AC67" i="13"/>
  <c r="AD65" i="13"/>
  <c r="N27" i="37"/>
  <c r="N31" i="37"/>
  <c r="L31" i="37"/>
  <c r="O27" i="37"/>
  <c r="C9" i="18" s="1"/>
  <c r="Z98" i="13"/>
  <c r="AE23" i="13"/>
  <c r="O31" i="37" l="1"/>
  <c r="D10" i="18"/>
  <c r="AE65" i="13"/>
  <c r="AD67" i="13"/>
  <c r="AB70" i="13" s="1"/>
  <c r="H23" i="21"/>
  <c r="J23" i="21" s="1"/>
  <c r="L23" i="21" s="1"/>
  <c r="L74" i="37"/>
  <c r="D19" i="18" s="1"/>
  <c r="N74" i="37"/>
  <c r="P31" i="37"/>
  <c r="C10" i="18"/>
  <c r="L43" i="37"/>
  <c r="P27" i="37"/>
  <c r="O43" i="37"/>
  <c r="AE98" i="13"/>
  <c r="P43" i="37" l="1"/>
  <c r="O74" i="37"/>
  <c r="L80" i="37"/>
  <c r="AG70" i="13"/>
  <c r="AB72" i="13"/>
  <c r="AG72" i="13" s="1"/>
  <c r="E7" i="13"/>
  <c r="L25" i="23" l="1"/>
  <c r="M25" i="23" s="1"/>
  <c r="F77" i="16"/>
  <c r="L26" i="23"/>
  <c r="M26" i="23" s="1"/>
  <c r="F76" i="16"/>
  <c r="C19" i="18"/>
  <c r="P74" i="37"/>
  <c r="P80" i="37" s="1"/>
  <c r="O80" i="37"/>
  <c r="E8" i="13"/>
  <c r="I101" i="13" l="1"/>
  <c r="AC26" i="13"/>
  <c r="AD26" i="13" s="1"/>
  <c r="H13" i="21" s="1"/>
  <c r="J13" i="21" s="1"/>
  <c r="L13" i="21" s="1"/>
  <c r="L11" i="21" l="1"/>
  <c r="AE26" i="13"/>
  <c r="M101" i="13"/>
  <c r="AC25" i="13"/>
  <c r="Y7" i="13"/>
  <c r="J6" i="23"/>
  <c r="AD25" i="13" l="1"/>
  <c r="AC31" i="13"/>
  <c r="AC100" i="13"/>
  <c r="AD100" i="13" s="1"/>
  <c r="L28" i="21" s="1"/>
  <c r="V100" i="13"/>
  <c r="Z100" i="13" s="1"/>
  <c r="W100" i="13"/>
  <c r="Y8" i="13"/>
  <c r="S101" i="13"/>
  <c r="K7" i="21"/>
  <c r="AD31" i="13" l="1"/>
  <c r="H12" i="21"/>
  <c r="J12" i="21" s="1"/>
  <c r="L12" i="21" s="1"/>
  <c r="P7" i="21"/>
  <c r="Q7" i="21" s="1"/>
  <c r="U100" i="13"/>
  <c r="T101" i="13"/>
  <c r="AB103" i="13" s="1"/>
  <c r="AE25" i="13"/>
  <c r="AB106" i="13" l="1"/>
  <c r="AE31" i="13"/>
  <c r="Z101" i="13"/>
  <c r="V101" i="13"/>
  <c r="AC101" i="13"/>
  <c r="B7" i="21"/>
  <c r="A7" i="21"/>
  <c r="AE100" i="13" l="1"/>
  <c r="AD101" i="13"/>
  <c r="AG104" i="13" s="1"/>
  <c r="D7" i="13"/>
  <c r="AG106" i="13" l="1"/>
  <c r="E6" i="23"/>
  <c r="K6" i="23" s="1"/>
  <c r="L34" i="23" l="1"/>
  <c r="M34" i="23" s="1"/>
  <c r="L32" i="23"/>
  <c r="M32" i="23" s="1"/>
  <c r="L33" i="23"/>
  <c r="M33" i="23" s="1"/>
  <c r="AB8" i="13"/>
  <c r="M28" i="23" l="1"/>
  <c r="L9" i="21" l="1"/>
  <c r="L10" i="21" l="1"/>
  <c r="J7" i="13" l="1"/>
  <c r="H7" i="13" l="1"/>
  <c r="H10" i="37" s="1"/>
  <c r="G7" i="13"/>
  <c r="G10" i="37" s="1"/>
  <c r="C7" i="13"/>
  <c r="D8" i="37" s="1"/>
  <c r="B7" i="13"/>
  <c r="C8" i="37" s="1"/>
  <c r="A7" i="13"/>
  <c r="B8" i="37" s="1"/>
  <c r="E57" i="16"/>
  <c r="D57" i="16"/>
  <c r="C57" i="16"/>
  <c r="B57" i="16"/>
  <c r="A57" i="16"/>
  <c r="P7" i="13" l="1"/>
  <c r="A6" i="23"/>
  <c r="B6" i="23"/>
  <c r="C6" i="23"/>
  <c r="H6" i="23" l="1"/>
  <c r="I7" i="13"/>
  <c r="I8" i="13" s="1"/>
  <c r="F7" i="13"/>
  <c r="F8" i="13" s="1"/>
  <c r="E134" i="4"/>
  <c r="E128" i="4"/>
  <c r="E122" i="4"/>
  <c r="E114" i="4"/>
  <c r="E108" i="4"/>
  <c r="E102" i="4"/>
  <c r="E96" i="4"/>
  <c r="E90" i="4"/>
  <c r="E70" i="4"/>
  <c r="E38" i="4"/>
  <c r="E32" i="4"/>
  <c r="E26" i="4"/>
  <c r="E20" i="4"/>
  <c r="E58" i="4"/>
  <c r="E8" i="4"/>
  <c r="E14" i="4"/>
  <c r="E46" i="4"/>
  <c r="E52" i="4"/>
  <c r="E64" i="4"/>
  <c r="E76" i="4"/>
  <c r="E84" i="4"/>
  <c r="R7" i="13" l="1"/>
  <c r="Q7" i="13"/>
  <c r="M7" i="13"/>
  <c r="M8" i="13" s="1"/>
  <c r="D6" i="23"/>
  <c r="R8" i="13" l="1"/>
  <c r="S7" i="13"/>
  <c r="T7" i="13" s="1"/>
  <c r="N7" i="13"/>
  <c r="E8" i="37" l="1"/>
  <c r="F10" i="37" s="1"/>
  <c r="F12" i="37" s="1"/>
  <c r="C7" i="21"/>
  <c r="E7" i="21" s="1"/>
  <c r="U10" i="37" l="1"/>
  <c r="K10" i="37"/>
  <c r="L10" i="37" s="1"/>
  <c r="Q10" i="37"/>
  <c r="S10" i="37" s="1"/>
  <c r="U7" i="13"/>
  <c r="N6" i="23"/>
  <c r="V7" i="13"/>
  <c r="W7" i="13"/>
  <c r="L12" i="37" l="1"/>
  <c r="D6" i="18"/>
  <c r="N10" i="37"/>
  <c r="O10" i="37"/>
  <c r="Z7" i="13"/>
  <c r="D21" i="18" l="1"/>
  <c r="O12" i="37"/>
  <c r="C6" i="18"/>
  <c r="C21" i="18" s="1"/>
  <c r="P10" i="37"/>
  <c r="P12" i="37" s="1"/>
  <c r="AA8" i="13"/>
  <c r="G7" i="21"/>
  <c r="AC7" i="13"/>
  <c r="J8" i="13" l="1"/>
  <c r="AD7" i="13"/>
  <c r="H7" i="21" s="1"/>
  <c r="J7" i="21" s="1"/>
  <c r="P8" i="13" l="1"/>
  <c r="AE7" i="13"/>
  <c r="S8" i="13" l="1"/>
  <c r="T8" i="13" l="1"/>
  <c r="AB10" i="13" s="1"/>
  <c r="L7" i="21"/>
  <c r="U8" i="13" l="1"/>
  <c r="AC8" i="13"/>
  <c r="Z8" i="13"/>
  <c r="V8" i="13"/>
  <c r="AD8" i="13" l="1"/>
  <c r="AB11" i="13" s="1"/>
  <c r="AG11" i="13" s="1"/>
  <c r="AB13" i="13" l="1"/>
  <c r="AG13" i="13" s="1"/>
  <c r="AE8" i="13"/>
  <c r="F57" i="16" l="1"/>
  <c r="L6" i="23"/>
  <c r="M6" i="23" s="1"/>
  <c r="AB33" i="13"/>
  <c r="AB34" i="13"/>
  <c r="Y101" i="13"/>
  <c r="AG34" i="13" l="1"/>
  <c r="AB36" i="13"/>
  <c r="AG36" i="13" s="1"/>
  <c r="F63" i="16" l="1"/>
  <c r="F60" i="16"/>
  <c r="F61" i="16"/>
  <c r="F62" i="16"/>
  <c r="F64" i="16"/>
  <c r="F59" i="16"/>
  <c r="L14" i="23"/>
  <c r="M14" i="23" s="1"/>
  <c r="L13" i="23"/>
  <c r="M13" i="23" s="1"/>
  <c r="L15" i="23"/>
  <c r="M15" i="23" s="1"/>
  <c r="L16" i="23"/>
  <c r="M16" i="23" s="1"/>
  <c r="M20" i="23"/>
  <c r="L10" i="23"/>
  <c r="M10" i="23" s="1"/>
  <c r="L12" i="23"/>
  <c r="M12" i="23" s="1"/>
  <c r="L11" i="23"/>
  <c r="M11" i="23" s="1"/>
  <c r="M18" i="23"/>
  <c r="L9" i="23"/>
  <c r="M9" i="23" s="1"/>
  <c r="M21" i="23"/>
  <c r="M19" i="23"/>
  <c r="L8" i="23"/>
  <c r="M8" i="23" s="1"/>
  <c r="U101" i="13"/>
  <c r="AE51" i="13"/>
  <c r="AE84" i="13"/>
  <c r="AE101" i="13" l="1"/>
  <c r="D38" i="18"/>
  <c r="C38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Federico Badalassi</author>
  </authors>
  <commentList>
    <comment ref="E176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Federico Badalassi:</t>
        </r>
        <r>
          <rPr>
            <sz val="9"/>
            <color indexed="81"/>
            <rFont val="Tahoma"/>
            <family val="2"/>
          </rPr>
          <t xml:space="preserve">
0,5 controsoffitti a tenuta
1 controsoffitti non a tenuta</t>
        </r>
      </text>
    </comment>
  </commentList>
</comments>
</file>

<file path=xl/sharedStrings.xml><?xml version="1.0" encoding="utf-8"?>
<sst xmlns="http://schemas.openxmlformats.org/spreadsheetml/2006/main" count="2776" uniqueCount="542">
  <si>
    <t>Area</t>
  </si>
  <si>
    <t>Volume</t>
  </si>
  <si>
    <t>Watt</t>
  </si>
  <si>
    <t>°C</t>
  </si>
  <si>
    <t>Pa</t>
  </si>
  <si>
    <t>m</t>
  </si>
  <si>
    <t>DP (Pa) =</t>
  </si>
  <si>
    <t>lt/h</t>
  </si>
  <si>
    <t>Descrizione</t>
  </si>
  <si>
    <t>Altezza</t>
  </si>
  <si>
    <t>Persone</t>
  </si>
  <si>
    <t>TOTALE</t>
  </si>
  <si>
    <t>% utilizzo</t>
  </si>
  <si>
    <t>Portata acqua calda</t>
  </si>
  <si>
    <t>Classe</t>
  </si>
  <si>
    <t>Estate</t>
  </si>
  <si>
    <t>Inverno</t>
  </si>
  <si>
    <t>T. Immis.</t>
  </si>
  <si>
    <t>Minima</t>
  </si>
  <si>
    <t>Vol/amb/h</t>
  </si>
  <si>
    <t>Infiltrazioni</t>
  </si>
  <si>
    <t>Apparecchiatura</t>
  </si>
  <si>
    <t>Regime
Attenuato</t>
  </si>
  <si>
    <t>n°</t>
  </si>
  <si>
    <t>Rientrate
di calore
Estate</t>
  </si>
  <si>
    <t>Dispersioni
di calore
Inverno</t>
  </si>
  <si>
    <t>Tot. Carico
Sensibile
Estate</t>
  </si>
  <si>
    <t>Cella contenente formula</t>
  </si>
  <si>
    <t>Cella compilata e controllata</t>
  </si>
  <si>
    <t>Locale</t>
  </si>
  <si>
    <t>Note</t>
  </si>
  <si>
    <t>Calcolo Portata
Aria di Mandata</t>
  </si>
  <si>
    <t>Estrazioni
Regime Attenuato</t>
  </si>
  <si>
    <t>Portata Aria
Adottata</t>
  </si>
  <si>
    <t>Superficie</t>
  </si>
  <si>
    <t>TII</t>
  </si>
  <si>
    <t>TIE</t>
  </si>
  <si>
    <t>W</t>
  </si>
  <si>
    <t>m2</t>
  </si>
  <si>
    <t>m3</t>
  </si>
  <si>
    <t>W/m2</t>
  </si>
  <si>
    <t xml:space="preserve">Carichi Termici Equipment </t>
  </si>
  <si>
    <t>m3/h</t>
  </si>
  <si>
    <t xml:space="preserve">Temperatura
a monte della
batteria </t>
  </si>
  <si>
    <t xml:space="preserve">Temperatura
a valle della
batteria </t>
  </si>
  <si>
    <t>Potenza termica</t>
  </si>
  <si>
    <t>di Progetto</t>
  </si>
  <si>
    <t>Dimensione batteria</t>
  </si>
  <si>
    <t>Lato B</t>
  </si>
  <si>
    <t>Lato A</t>
  </si>
  <si>
    <t>m/s</t>
  </si>
  <si>
    <t>V</t>
  </si>
  <si>
    <t>Ricambi
aria</t>
  </si>
  <si>
    <t>Pressione
Ambiente</t>
  </si>
  <si>
    <t>Calcolata</t>
  </si>
  <si>
    <t>Portata Aria
per Ricambi</t>
  </si>
  <si>
    <t>Portata Aria
Calcolata</t>
  </si>
  <si>
    <t>Ricambi
Calcolati</t>
  </si>
  <si>
    <t>Calcolo Portata
Aria di Ripresa</t>
  </si>
  <si>
    <t>Spessore fessura (m): s =</t>
  </si>
  <si>
    <t>Lunghezza fessura (m): l =</t>
  </si>
  <si>
    <t>Coefficiente α =</t>
  </si>
  <si>
    <t>Dimensioni: (1,40*2,15) m</t>
  </si>
  <si>
    <t>Portata aria =</t>
  </si>
  <si>
    <t>Trafilamenti e infiltrazioni aria (porte)</t>
  </si>
  <si>
    <t>Trafilamenti e infiltrazioni aria (soffitti)</t>
  </si>
  <si>
    <t>Porta singola tipo 1</t>
  </si>
  <si>
    <t>Trafilamenti
(o Infiltrazioni da soffitto in locali
con P negativa)</t>
  </si>
  <si>
    <t>lt/s</t>
  </si>
  <si>
    <t>Riferimento
batteria</t>
  </si>
  <si>
    <t>Portata Aria
di Mandata</t>
  </si>
  <si>
    <t>Portata Aria di Progetto</t>
  </si>
  <si>
    <t>Salto Termico
lato acqua</t>
  </si>
  <si>
    <t>Lato A effettivo</t>
  </si>
  <si>
    <t>Carico elettrico</t>
  </si>
  <si>
    <t>Totale Carico dissipato</t>
  </si>
  <si>
    <t>Pressione ambiente</t>
  </si>
  <si>
    <t>Perdita aria</t>
  </si>
  <si>
    <t>% diss.</t>
  </si>
  <si>
    <t>Porta doppia tipo 1</t>
  </si>
  <si>
    <t>Porta farma scorrevole tipo 1</t>
  </si>
  <si>
    <t>Porta singola pass box tipo 1</t>
  </si>
  <si>
    <t>Dimensioni: (0,70*0,70) m</t>
  </si>
  <si>
    <t>HVAC Design Criteria</t>
  </si>
  <si>
    <t>Sistema</t>
  </si>
  <si>
    <t>Codice</t>
  </si>
  <si>
    <t>Livello
Biologico</t>
  </si>
  <si>
    <t>T</t>
  </si>
  <si>
    <t>tol.</t>
  </si>
  <si>
    <t>U.R.</t>
  </si>
  <si>
    <t>%</t>
  </si>
  <si>
    <t>Condizioni Interne
Estate</t>
  </si>
  <si>
    <t>Condizioni Interne
Inverno</t>
  </si>
  <si>
    <t>Condizioni Esterne
Estate</t>
  </si>
  <si>
    <t>Condizioni Esterne
Inverno</t>
  </si>
  <si>
    <t>-</t>
  </si>
  <si>
    <t>Carichi interni</t>
  </si>
  <si>
    <t>Apparec.</t>
  </si>
  <si>
    <t>Illumin.</t>
  </si>
  <si>
    <t>Sensibile</t>
  </si>
  <si>
    <t>W/p</t>
  </si>
  <si>
    <t>Latente</t>
  </si>
  <si>
    <t>Totale
Sensibile
Estate</t>
  </si>
  <si>
    <t>% Aria Esterna</t>
  </si>
  <si>
    <t>Tipo impianto HVAC</t>
  </si>
  <si>
    <t>Tipo</t>
  </si>
  <si>
    <t>Controllo
Pressione</t>
  </si>
  <si>
    <t>Tipologia
impianto</t>
  </si>
  <si>
    <t>Terminali aria</t>
  </si>
  <si>
    <t>Mandata</t>
  </si>
  <si>
    <t>Posizione</t>
  </si>
  <si>
    <t>Classe
Tenuta
Canali</t>
  </si>
  <si>
    <t>Livello Rumore</t>
  </si>
  <si>
    <t>Area
produzione</t>
  </si>
  <si>
    <t>dBA</t>
  </si>
  <si>
    <t>ΔP
locali</t>
  </si>
  <si>
    <t>Conc.
Partic.</t>
  </si>
  <si>
    <t>Conc.
Microb.</t>
  </si>
  <si>
    <t>Classe locale</t>
  </si>
  <si>
    <t>ATEX
Class.</t>
  </si>
  <si>
    <t>si / no</t>
  </si>
  <si>
    <t>Area servita</t>
  </si>
  <si>
    <t>Ripresa / Estrazione</t>
  </si>
  <si>
    <t>Cella con riferimento ad altra cella o foglio</t>
  </si>
  <si>
    <t>Altre
aree</t>
  </si>
  <si>
    <t>Fumigazione</t>
  </si>
  <si>
    <t>GMP</t>
  </si>
  <si>
    <t>Cliente</t>
  </si>
  <si>
    <t>Ricambi aria
(Vol / amb / h)</t>
  </si>
  <si>
    <t>Dimensioni: (0,90*2,10) m</t>
  </si>
  <si>
    <t>Dimensioni: (1,60*2,10) m</t>
  </si>
  <si>
    <t xml:space="preserve">CAV: Portata Aria Costante
VAV: Portata Aria Variabile
H&amp;V: Riscaldamento e Ventilazione
Attivo: Utilizza serrande e/o regolatori di portata aria controllati in modo elettrico o pneumatico per mantenere le differenze di pressione tra i vari locali
Passivo: Utilizza serrande di regolazione e/o regolatori di portata aria del tipo meccanici autoazionati e/o di taratura per mantenere costanti le portate d'aria
Off-Set: Utilizza regolatori di portata aria per mantenere costante la differenza di portata aria (off-set) tra la mandata ed il ritorno.
</t>
  </si>
  <si>
    <t>Kgv/h
Umidificatore</t>
  </si>
  <si>
    <t>Diametro Tubazioni</t>
  </si>
  <si>
    <t>l/h
Batteria
Calda</t>
  </si>
  <si>
    <t>l/h
Batteria
Fredda</t>
  </si>
  <si>
    <t>Acqua
Calda</t>
  </si>
  <si>
    <t>Acqua
Fredda</t>
  </si>
  <si>
    <t>Lato
Attacchi</t>
  </si>
  <si>
    <t>Diametro Valvole Regolazione</t>
  </si>
  <si>
    <t>Portata di Progetto (l/h)</t>
  </si>
  <si>
    <t>Committente</t>
  </si>
  <si>
    <t>Titolo Progetto</t>
  </si>
  <si>
    <t>Titolo Documento</t>
  </si>
  <si>
    <t>Codice Commessa</t>
  </si>
  <si>
    <t>Codice Documento</t>
  </si>
  <si>
    <t>Tabella Revisioni</t>
  </si>
  <si>
    <t>Descrizione:</t>
  </si>
  <si>
    <t>A</t>
  </si>
  <si>
    <t>Stesura:</t>
  </si>
  <si>
    <t>Data:</t>
  </si>
  <si>
    <t>Firma:</t>
  </si>
  <si>
    <t>B</t>
  </si>
  <si>
    <t>NC</t>
  </si>
  <si>
    <t>N.A.</t>
  </si>
  <si>
    <t>EST</t>
  </si>
  <si>
    <t>INV</t>
  </si>
  <si>
    <t>Locale 1</t>
  </si>
  <si>
    <t>Locale 2</t>
  </si>
  <si>
    <t>Delta Pressione (L1-L2)</t>
  </si>
  <si>
    <t>Tipo porta</t>
  </si>
  <si>
    <t>Controsoffitto</t>
  </si>
  <si>
    <t>No</t>
  </si>
  <si>
    <t>esposti</t>
  </si>
  <si>
    <t>piping</t>
  </si>
  <si>
    <t>kWf</t>
  </si>
  <si>
    <t>Potenza invernale</t>
  </si>
  <si>
    <t>kWc</t>
  </si>
  <si>
    <t>Quantità</t>
  </si>
  <si>
    <r>
      <rPr>
        <sz val="10"/>
        <rFont val="Calibri"/>
        <family val="2"/>
      </rPr>
      <t>≤</t>
    </r>
    <r>
      <rPr>
        <sz val="10"/>
        <rFont val="Arial"/>
        <family val="2"/>
      </rPr>
      <t xml:space="preserve"> 60</t>
    </r>
  </si>
  <si>
    <t>n</t>
  </si>
  <si>
    <t>Coeff. affollamento UNI</t>
  </si>
  <si>
    <t>Riduz. Per categoria diversa da E1</t>
  </si>
  <si>
    <t>Persone progetto</t>
  </si>
  <si>
    <t>Persone UNI</t>
  </si>
  <si>
    <t>Rinnovi/ora</t>
  </si>
  <si>
    <t>mc/h*pax</t>
  </si>
  <si>
    <t>Mandata minima aria est UNI</t>
  </si>
  <si>
    <t>mc/h</t>
  </si>
  <si>
    <t>Mandata minima aria est progetto</t>
  </si>
  <si>
    <t>Coeff. aria esterna UNI</t>
  </si>
  <si>
    <t>Portata Aria
Sovrad.</t>
  </si>
  <si>
    <t>Modello diffusore scelto</t>
  </si>
  <si>
    <t>Mandata minima aria da CDZ</t>
  </si>
  <si>
    <t>Modello ripresa scelto</t>
  </si>
  <si>
    <t>CDZ</t>
  </si>
  <si>
    <t>FC</t>
  </si>
  <si>
    <t>TOT</t>
  </si>
  <si>
    <t>N° pagine:</t>
  </si>
  <si>
    <t>Anta singola 0,9x2,1</t>
  </si>
  <si>
    <t>Estrazioni/Espulsioni</t>
  </si>
  <si>
    <t>ESTATE</t>
  </si>
  <si>
    <t>Ti (°C)</t>
  </si>
  <si>
    <t>Copertura</t>
  </si>
  <si>
    <t>Pareti Esterne</t>
  </si>
  <si>
    <t>Contrib. irragg.copertura</t>
  </si>
  <si>
    <t>Irragg. sup vetrate</t>
  </si>
  <si>
    <t>Contrib. irragg.pareti</t>
  </si>
  <si>
    <t>Fatt correttivo altezza</t>
  </si>
  <si>
    <t>Q TOT (kW)</t>
  </si>
  <si>
    <t>T (°C)</t>
  </si>
  <si>
    <t>Superficie (m2)</t>
  </si>
  <si>
    <t>Q (W)</t>
  </si>
  <si>
    <t>W/mc</t>
  </si>
  <si>
    <t>INVERNO</t>
  </si>
  <si>
    <t>calc</t>
  </si>
  <si>
    <t>scelto</t>
  </si>
  <si>
    <t>U pavimento (W/m2 K)</t>
  </si>
  <si>
    <t>U copertura (W/m2 K)</t>
  </si>
  <si>
    <t>U parete esterna (W/m2 K)</t>
  </si>
  <si>
    <t>W/mK</t>
  </si>
  <si>
    <t>mm</t>
  </si>
  <si>
    <t>W/m2K</t>
  </si>
  <si>
    <t>m2K/W</t>
  </si>
  <si>
    <t>kg/m3</t>
  </si>
  <si>
    <t>kg/m2</t>
  </si>
  <si>
    <r>
      <t>a</t>
    </r>
    <r>
      <rPr>
        <vertAlign val="subscript"/>
        <sz val="10"/>
        <rFont val="Arial"/>
        <family val="2"/>
      </rPr>
      <t>i</t>
    </r>
  </si>
  <si>
    <r>
      <t>a</t>
    </r>
    <r>
      <rPr>
        <vertAlign val="subscript"/>
        <sz val="10"/>
        <rFont val="Arial"/>
        <family val="2"/>
      </rPr>
      <t>e</t>
    </r>
  </si>
  <si>
    <t>Stratigrafia copertura</t>
  </si>
  <si>
    <t>Calcestruzzo armato</t>
  </si>
  <si>
    <t>NO</t>
  </si>
  <si>
    <t>Stratigrafia parete esterna</t>
  </si>
  <si>
    <t>Pannello coibentato</t>
  </si>
  <si>
    <t>Stratigrafia solaio interpiano</t>
  </si>
  <si>
    <t>Irraggiamento superfici vetrate</t>
  </si>
  <si>
    <t>Dim</t>
  </si>
  <si>
    <t>N.</t>
  </si>
  <si>
    <t>mq</t>
  </si>
  <si>
    <t>Irraggiamento superfici opache</t>
  </si>
  <si>
    <r>
      <rPr>
        <sz val="10"/>
        <rFont val="Calibri"/>
        <family val="2"/>
      </rPr>
      <t>Δ</t>
    </r>
    <r>
      <rPr>
        <sz val="10"/>
        <rFont val="Arial"/>
        <family val="2"/>
      </rPr>
      <t>Teq1 ore 10</t>
    </r>
  </si>
  <si>
    <r>
      <rPr>
        <sz val="10"/>
        <rFont val="Calibri"/>
        <family val="2"/>
      </rPr>
      <t>Δ</t>
    </r>
    <r>
      <rPr>
        <sz val="10"/>
        <rFont val="Arial"/>
        <family val="2"/>
      </rPr>
      <t>Teq1 ore 13</t>
    </r>
  </si>
  <si>
    <r>
      <rPr>
        <sz val="10"/>
        <rFont val="Calibri"/>
        <family val="2"/>
      </rPr>
      <t>Δ</t>
    </r>
    <r>
      <rPr>
        <sz val="10"/>
        <rFont val="Arial"/>
        <family val="2"/>
      </rPr>
      <t>Teq1 ore 18</t>
    </r>
  </si>
  <si>
    <t>ΔTeq1 scelti</t>
  </si>
  <si>
    <t>W1</t>
  </si>
  <si>
    <t>ΔTeq2</t>
  </si>
  <si>
    <t>ΔTeq3</t>
  </si>
  <si>
    <t>ΔTeq</t>
  </si>
  <si>
    <t>DIFFUSORI</t>
  </si>
  <si>
    <t>Revisione</t>
  </si>
  <si>
    <t>N° tubi</t>
  </si>
  <si>
    <t>Potenza elettrica</t>
  </si>
  <si>
    <t>Quantità calcolata</t>
  </si>
  <si>
    <t>Quantità scelta</t>
  </si>
  <si>
    <t>Potenza elettrica totale</t>
  </si>
  <si>
    <t>Potenza installata</t>
  </si>
  <si>
    <t>kW</t>
  </si>
  <si>
    <t>Pavimento contro terra</t>
  </si>
  <si>
    <t>Solaio interpiano</t>
  </si>
  <si>
    <t>Vetrate Esterne</t>
  </si>
  <si>
    <t>Pareti su locali non condizionati</t>
  </si>
  <si>
    <t>U parete interna (W/m2 K)</t>
  </si>
  <si>
    <t>U vetrata esterna (W/m2 K)</t>
  </si>
  <si>
    <t>Solaio interpiano (W/m2 K)</t>
  </si>
  <si>
    <t>Stratigrafia pavimento contro terra</t>
  </si>
  <si>
    <t>PVC</t>
  </si>
  <si>
    <t>Stratigrafia parete interna</t>
  </si>
  <si>
    <t>Wmax (W/mq)</t>
  </si>
  <si>
    <t>FCR1</t>
  </si>
  <si>
    <t>FCR2</t>
  </si>
  <si>
    <t>FCR3</t>
  </si>
  <si>
    <t>W (W/mq)</t>
  </si>
  <si>
    <t>DP (°C)</t>
  </si>
  <si>
    <t>°C esc g</t>
  </si>
  <si>
    <t xml:space="preserve">TOT </t>
  </si>
  <si>
    <t xml:space="preserve">Copertura </t>
  </si>
  <si>
    <t>Pareti N-O</t>
  </si>
  <si>
    <t>P5323</t>
  </si>
  <si>
    <t>SITE DEVELOPMENT
ADVANCED BASIC DESIGN</t>
  </si>
  <si>
    <t>Approvazione:</t>
  </si>
  <si>
    <t>Questo documento è proprietà della TECHNICONSULT FIRENZE S.r.l. che tutelerà i suoi diritti a termine di legge - This document is the sole property of TECHNICONSULT FIRENZE S.r.l. who will safeguard its rights according to the previsions of law</t>
  </si>
  <si>
    <t>X</t>
  </si>
  <si>
    <t>Standard</t>
  </si>
  <si>
    <t>Applicato</t>
  </si>
  <si>
    <t>AENOVA SRL
Stabilimento di Borgo San Michele (LT)</t>
  </si>
  <si>
    <t>Controllo:</t>
  </si>
  <si>
    <t>CAV</t>
  </si>
  <si>
    <t>NA</t>
  </si>
  <si>
    <t xml:space="preserve">Parete N-E </t>
  </si>
  <si>
    <t>Portata Totale Aria di Mandata</t>
  </si>
  <si>
    <t>Portata Totale Aria di Ripresa</t>
  </si>
  <si>
    <t>Portata Totale Aria Espulsa</t>
  </si>
  <si>
    <t>Portata Totale Aria Esterna</t>
  </si>
  <si>
    <t>±2</t>
  </si>
  <si>
    <t>interni</t>
  </si>
  <si>
    <t>Tenuta aria</t>
  </si>
  <si>
    <t>m3/h*m2*Pa</t>
  </si>
  <si>
    <t>Estrattori dedicati</t>
  </si>
  <si>
    <t>Percentuale aria rinnovo</t>
  </si>
  <si>
    <t>Percentuale ricircolo</t>
  </si>
  <si>
    <t>Percentuale aria rinnovo UTA</t>
  </si>
  <si>
    <t>Da calcolo su Diagramma Psicrometrico</t>
  </si>
  <si>
    <t>50 kPa</t>
  </si>
  <si>
    <t>batterie fredde</t>
  </si>
  <si>
    <t>40 kPa</t>
  </si>
  <si>
    <t>batterie calde</t>
  </si>
  <si>
    <t>NE</t>
  </si>
  <si>
    <t>Totale locale</t>
  </si>
  <si>
    <t>Carico dissipato unit</t>
  </si>
  <si>
    <t>Portata Aria ripresa</t>
  </si>
  <si>
    <t>Portata Aria espulsione</t>
  </si>
  <si>
    <t>Telaio metallico
Vetro doppio
Veneziana interna chiara</t>
  </si>
  <si>
    <t>Sagicofim KK 150</t>
  </si>
  <si>
    <t>150-300 Pa/m</t>
  </si>
  <si>
    <t>TUBI IN ACCIAIO O PLASTICA:
- reti principali: vel. compresa tra 1,5 e 2,5 m/s;
- diramazioni utenze: vel compresa tra 0,5 e 1,5 m/s;
TUBI IN RAME:
 - reti principali: vel. compresa tra 0,9 e 1,2 m/s;
- diramazioni utenze: vel compresa tra 0,5 e 0,9 m/s;</t>
  </si>
  <si>
    <t>ING</t>
  </si>
  <si>
    <t>LGA</t>
  </si>
  <si>
    <t>Ingegno</t>
  </si>
  <si>
    <t>L. Galligani</t>
  </si>
  <si>
    <t>Diffusore elicoidale</t>
  </si>
  <si>
    <t>Valvola di estrazione</t>
  </si>
  <si>
    <t>Monitoraggio EMS</t>
  </si>
  <si>
    <t>Sagicofim INDULCLIP RQ+ 600</t>
  </si>
  <si>
    <t>Riepilogo consumi</t>
  </si>
  <si>
    <t>P5323RHD002A</t>
  </si>
  <si>
    <t xml:space="preserve">HVAC
DESIGN CRITERIA
COLD CHAIN
</t>
  </si>
  <si>
    <t>P5323FCH001A</t>
  </si>
  <si>
    <t xml:space="preserve">HVAC
FASCICOLO DEI CALCOLI
COLD CHAIN
</t>
  </si>
  <si>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25,0</t>
    </r>
  </si>
  <si>
    <r>
      <rPr>
        <sz val="10"/>
        <rFont val="Calibri"/>
        <family val="2"/>
      </rPr>
      <t>≥</t>
    </r>
    <r>
      <rPr>
        <sz val="10"/>
        <rFont val="Arial"/>
        <family val="2"/>
      </rPr>
      <t xml:space="preserve"> 15,0</t>
    </r>
  </si>
  <si>
    <t>AH-102-01</t>
  </si>
  <si>
    <t>Ricarica AGV</t>
  </si>
  <si>
    <t>Massetto - Calcestruzzo</t>
  </si>
  <si>
    <t>Lamiera grecata</t>
  </si>
  <si>
    <t>Ignilastra cartongesso antincendio</t>
  </si>
  <si>
    <t>Lana di roccia</t>
  </si>
  <si>
    <t>Aria</t>
  </si>
  <si>
    <t>LINK</t>
  </si>
  <si>
    <t>Pareti S-O</t>
  </si>
  <si>
    <t>Parete S-E</t>
  </si>
  <si>
    <t>Contributo da magazzino refrigerato adiacente</t>
  </si>
  <si>
    <t>Temperatura magazzino (°C)</t>
  </si>
  <si>
    <t>UR magazzino (%)</t>
  </si>
  <si>
    <t>Area frontale materiali (m2)</t>
  </si>
  <si>
    <t>Velocità di trascinamento (m/min)</t>
  </si>
  <si>
    <t>Portata d'aria max da magazzino (m3/h)</t>
  </si>
  <si>
    <t>Portata d'aria media da magazzino (m3/h)</t>
  </si>
  <si>
    <t>Carico termico invernale (W)</t>
  </si>
  <si>
    <t>Q TOT con aria da magazzino refrigerato(kW)</t>
  </si>
  <si>
    <t>AH-103-01</t>
  </si>
  <si>
    <t>Motori rulliere</t>
  </si>
  <si>
    <t>Wrapping machine</t>
  </si>
  <si>
    <t>Cambio pallet</t>
  </si>
  <si>
    <t>Solaio interpiano con locali non condizionati</t>
  </si>
  <si>
    <t>Pannello calcestruzzo prefabbricato</t>
  </si>
  <si>
    <t>Telaio metallico
Vetro triplo
Veneziana interna chiara</t>
  </si>
  <si>
    <t>Pannello isolante in lana minerale</t>
  </si>
  <si>
    <t>LBW MOVIM</t>
  </si>
  <si>
    <t>LBW CORR P0</t>
  </si>
  <si>
    <t>MAGAZZINO BASSO P0</t>
  </si>
  <si>
    <t>AIRLOCK VT</t>
  </si>
  <si>
    <t>MAGAZZINO BASSO P1</t>
  </si>
  <si>
    <t>(1)</t>
  </si>
  <si>
    <t>Stratigrafia controsoffitto</t>
  </si>
  <si>
    <t>Pannello controsoffitto in fibra minerale</t>
  </si>
  <si>
    <t>Controsoffitto (W/m2 K)</t>
  </si>
  <si>
    <t>LBW FUMO-A/L</t>
  </si>
  <si>
    <t>LBW WC P1</t>
  </si>
  <si>
    <t>LBW CORR P1</t>
  </si>
  <si>
    <t>LBW SPOGL P1</t>
  </si>
  <si>
    <t>REVAMPING P0</t>
  </si>
  <si>
    <t>0 (2)</t>
  </si>
  <si>
    <t>(1) (2)</t>
  </si>
  <si>
    <t>UTA AH-102-01 - Macchina a parziale ricircolo</t>
  </si>
  <si>
    <t>UTA AH-103-01 - Macchina a parziale ricircolo</t>
  </si>
  <si>
    <t>UTA AH-104-01 - Macchina a tutta aria esterna</t>
  </si>
  <si>
    <t>Freezer -80 °C</t>
  </si>
  <si>
    <t>AH-105-01</t>
  </si>
  <si>
    <t>RECEIVING</t>
  </si>
  <si>
    <t>REV P0-1</t>
  </si>
  <si>
    <t>REV P0-2</t>
  </si>
  <si>
    <t>sovradimensionamento</t>
  </si>
  <si>
    <t>0606</t>
  </si>
  <si>
    <t>0605/0311</t>
  </si>
  <si>
    <t>LBW AREA TEC</t>
  </si>
  <si>
    <t>LOGISTIC AIRLOCK IN</t>
  </si>
  <si>
    <t>LOGISTIC AIRLOCK OUT</t>
  </si>
  <si>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65,0</t>
    </r>
  </si>
  <si>
    <t>LOG OUT</t>
  </si>
  <si>
    <t>U parete esterna 1 (W/m2 K)</t>
  </si>
  <si>
    <t>Stratigrafia parete esterna 1</t>
  </si>
  <si>
    <t>Stratigrafia parete esterna 2</t>
  </si>
  <si>
    <t>U parete esterna 2 (W/m2 K)</t>
  </si>
  <si>
    <t>Irraggiamento superfici vetrate 1</t>
  </si>
  <si>
    <t>Telaio metallico
Vetro doppio
senza schermi</t>
  </si>
  <si>
    <t>CORRID NO BETA</t>
  </si>
  <si>
    <t>UTA AH-105-01 - Macchina a parziale ricircolo</t>
  </si>
  <si>
    <t>0610</t>
  </si>
  <si>
    <t>Porta avvolgibile 1,3x2,1</t>
  </si>
  <si>
    <t>Esterno</t>
  </si>
  <si>
    <t>Porta avvolgibile 1,8x2,1</t>
  </si>
  <si>
    <t>0461</t>
  </si>
  <si>
    <t>Anta doppia 1,2x2,1</t>
  </si>
  <si>
    <t>Porta avvolgibile 1,6x2,1</t>
  </si>
  <si>
    <t>Batterie di POST-RISCALDAMENTO AH-102-01</t>
  </si>
  <si>
    <t>RC-102-01</t>
  </si>
  <si>
    <t>Anta doppia 2,0x3,0</t>
  </si>
  <si>
    <t>Aria primaria; abbattimento carichi con ventilc.</t>
  </si>
  <si>
    <t>REVAMPING P0 - PREDISPOSIZIONE</t>
  </si>
  <si>
    <t>REVAMPING P1 - PREDISPOSIZIONE</t>
  </si>
  <si>
    <t>0437</t>
  </si>
  <si>
    <t>REVAMPING SAMPLING ON LINE (FUTURO)</t>
  </si>
  <si>
    <t>1278</t>
  </si>
  <si>
    <t>REVAMPING PASSAGEWAY (FUTURO)</t>
  </si>
  <si>
    <t>1373</t>
  </si>
  <si>
    <t>REVAMPING CALIBRATION AREA (FUTURO)</t>
  </si>
  <si>
    <r>
      <rPr>
        <b/>
        <sz val="10"/>
        <rFont val="Arial"/>
        <family val="2"/>
      </rPr>
      <t>NC</t>
    </r>
    <r>
      <rPr>
        <sz val="10"/>
        <rFont val="Arial"/>
        <family val="2"/>
      </rPr>
      <t xml:space="preserve">   Non Classificato
</t>
    </r>
    <r>
      <rPr>
        <b/>
        <sz val="10"/>
        <rFont val="Arial"/>
        <family val="2"/>
      </rPr>
      <t>NA</t>
    </r>
    <r>
      <rPr>
        <sz val="10"/>
        <rFont val="Arial"/>
        <family val="2"/>
      </rPr>
      <t xml:space="preserve">   Non Applicabile</t>
    </r>
  </si>
  <si>
    <t>AH-103-1 + FC-103-01 (2)</t>
  </si>
  <si>
    <t>RC-103-01</t>
  </si>
  <si>
    <t>RC-103-02</t>
  </si>
  <si>
    <t>RC-103-03</t>
  </si>
  <si>
    <t>NA (FUTURA)</t>
  </si>
  <si>
    <t>Batterie di POST-RISCALDAMENTO AH-103-01</t>
  </si>
  <si>
    <t>AH-104-1 + FC-104-01 (2)</t>
  </si>
  <si>
    <t>Batterie di POST-RISCALDAMENTO AH-104-01</t>
  </si>
  <si>
    <t>RC-104-01</t>
  </si>
  <si>
    <t>Aria primaria</t>
  </si>
  <si>
    <r>
      <t xml:space="preserve">(1) Rinnovi aria esterna </t>
    </r>
    <r>
      <rPr>
        <sz val="10"/>
        <rFont val="Calibri"/>
        <family val="2"/>
      </rPr>
      <t>≥</t>
    </r>
    <r>
      <rPr>
        <sz val="10"/>
        <rFont val="Arial"/>
        <family val="2"/>
      </rPr>
      <t xml:space="preserve"> 39,6 mc/h pp
(2) Ventilconvettori + aria primaria
(3) Ventilconvettori
(4) Aria primaria</t>
    </r>
  </si>
  <si>
    <t>Batterie di POST-RISCALDAMENTO AH-105-01</t>
  </si>
  <si>
    <t>RC-105-01</t>
  </si>
  <si>
    <t>UTA AH-106-01 - Macchina a parziale ricircolo</t>
  </si>
  <si>
    <t>0253</t>
  </si>
  <si>
    <t>esterno</t>
  </si>
  <si>
    <t>Anta doppia 1,8x2,1</t>
  </si>
  <si>
    <t>RC-105-02</t>
  </si>
  <si>
    <t>Batterie di POST-RISCALDAMENTO AH-106-01</t>
  </si>
  <si>
    <t>RC-106-01</t>
  </si>
  <si>
    <t>Ripresa elicoidale</t>
  </si>
  <si>
    <t>Soffitto</t>
  </si>
  <si>
    <t>Diffusore elicoidale a geometria varianbile</t>
  </si>
  <si>
    <t>(1) Rinnovi aria esterna ≥ 39,6 mc/h pp
(2) Ventilconvettori + aria primaria
(3) Ventilconvettori
(4) Aria primaria
NC   Non Classificato
NA   Non Applicabile</t>
  </si>
  <si>
    <t>FC-102-01 (3)</t>
  </si>
  <si>
    <t>ENTRANCE</t>
  </si>
  <si>
    <t>HANDLING AREA</t>
  </si>
  <si>
    <t>PREDISPOSITION TO DS</t>
  </si>
  <si>
    <t>E001</t>
  </si>
  <si>
    <t>MATERIAL RECEIVING LINK CORRIDOR</t>
  </si>
  <si>
    <t>B001</t>
  </si>
  <si>
    <t>DS STORAGE</t>
  </si>
  <si>
    <t>B002</t>
  </si>
  <si>
    <t>CHECK ROOM/AIRLOCK</t>
  </si>
  <si>
    <t>A101</t>
  </si>
  <si>
    <t>FILTER AGAINST FIRE</t>
  </si>
  <si>
    <t>A102</t>
  </si>
  <si>
    <t>A103</t>
  </si>
  <si>
    <t>CORRIDOR</t>
  </si>
  <si>
    <t>A104</t>
  </si>
  <si>
    <t>MALE CHANGING ROOM</t>
  </si>
  <si>
    <t>A105</t>
  </si>
  <si>
    <t>MALE WC</t>
  </si>
  <si>
    <t>A106</t>
  </si>
  <si>
    <t>FEMALE WC</t>
  </si>
  <si>
    <t>A107</t>
  </si>
  <si>
    <t>FEMALE CHANGING ROOM</t>
  </si>
  <si>
    <t>0 (3)</t>
  </si>
  <si>
    <t>A001</t>
  </si>
  <si>
    <t>A002</t>
  </si>
  <si>
    <t>E002</t>
  </si>
  <si>
    <t>E003</t>
  </si>
  <si>
    <t>LINK CORRIDOR P0</t>
  </si>
  <si>
    <t>AH-104-01</t>
  </si>
  <si>
    <t>AH-106-01</t>
  </si>
  <si>
    <t>B003</t>
  </si>
  <si>
    <t>DN50</t>
  </si>
  <si>
    <t>DN65</t>
  </si>
  <si>
    <t>DN32</t>
  </si>
  <si>
    <t>DN40</t>
  </si>
  <si>
    <t>DN25</t>
  </si>
  <si>
    <t>DN20</t>
  </si>
  <si>
    <t>DN40, kvs 25</t>
  </si>
  <si>
    <t>DN50, kvs 40</t>
  </si>
  <si>
    <t>DN20, kvs 4</t>
  </si>
  <si>
    <t>DN32, kvs 10</t>
  </si>
  <si>
    <t>DN15, kvs 1,6</t>
  </si>
  <si>
    <t>Portata Aria</t>
  </si>
  <si>
    <t>Sagicofim TAB 01 T 250</t>
  </si>
  <si>
    <t>FCR GFX SA-300x500</t>
  </si>
  <si>
    <t>Modello</t>
  </si>
  <si>
    <t>Potenza estiva (sensibile)</t>
  </si>
  <si>
    <t>kWf (sens)</t>
  </si>
  <si>
    <t>kWf (tot)</t>
  </si>
  <si>
    <t>FC-103-01</t>
  </si>
  <si>
    <t>l/h</t>
  </si>
  <si>
    <t>l/h c</t>
  </si>
  <si>
    <t>l/h f</t>
  </si>
  <si>
    <t>FC-104-01</t>
  </si>
  <si>
    <t>FC-102-01</t>
  </si>
  <si>
    <t>Totale da produrre</t>
  </si>
  <si>
    <t>Totale da tie-in</t>
  </si>
  <si>
    <t>Potenza macchina singola - caldo (MIN)</t>
  </si>
  <si>
    <t>Potenza macchina singola - freddo (MED)</t>
  </si>
  <si>
    <t>Potenza estiva (totale)</t>
  </si>
  <si>
    <t>DN25, kvs 6,3</t>
  </si>
  <si>
    <t>WAREHOUSE NORTH SIDE / CORRIDOR</t>
  </si>
  <si>
    <t>NO BETA AREA CORRIDOR</t>
  </si>
  <si>
    <t>AH-103-1 (4)</t>
  </si>
  <si>
    <t>AH-106-1</t>
  </si>
  <si>
    <t>RC-106-02</t>
  </si>
  <si>
    <t>Diffusore a ugello</t>
  </si>
  <si>
    <t>Canale</t>
  </si>
  <si>
    <t>Griglia di ripresa</t>
  </si>
  <si>
    <t>Emesso per RdO</t>
  </si>
  <si>
    <t>0615</t>
  </si>
  <si>
    <t>WASTE MATERIAL EXIT</t>
  </si>
  <si>
    <t>AH-107-1 + FC-107-01 (2)</t>
  </si>
  <si>
    <t>Porta avvolgibile 2,0x3,0</t>
  </si>
  <si>
    <t>UTA AH-107-01 - Macchina a tutta aria esterna</t>
  </si>
  <si>
    <t>Entalpia specifica evaporazione</t>
  </si>
  <si>
    <t>kcal/h</t>
  </si>
  <si>
    <t>kcal/kg</t>
  </si>
  <si>
    <t>kg/h</t>
  </si>
  <si>
    <t>g/s</t>
  </si>
  <si>
    <t>AERMEC FCLI V2 124</t>
  </si>
  <si>
    <t>AERMEC FCLI V2 34</t>
  </si>
  <si>
    <t>2 con RE</t>
  </si>
  <si>
    <t>AERMEC FCLI V2 42</t>
  </si>
  <si>
    <t>DN15</t>
  </si>
  <si>
    <t>DN15, kvs 0,63</t>
  </si>
  <si>
    <t xml:space="preserve">DN15, kvs 1 </t>
  </si>
  <si>
    <t>FC-107-01</t>
  </si>
  <si>
    <t>Kg/h
Vapore Batteria calda</t>
  </si>
  <si>
    <t>Vapore
Black</t>
  </si>
  <si>
    <t>kvs 1</t>
  </si>
  <si>
    <t>PREDISP. ESP. LINK</t>
  </si>
  <si>
    <t>Sagicofim INDULCLIP RQ+ 400</t>
  </si>
  <si>
    <t>A109</t>
  </si>
  <si>
    <t>SUPERVISOR ROOM</t>
  </si>
  <si>
    <t>A110</t>
  </si>
  <si>
    <t>UPS ROOM</t>
  </si>
  <si>
    <r>
      <rPr>
        <sz val="10"/>
        <rFont val="Calibri"/>
        <family val="2"/>
      </rPr>
      <t xml:space="preserve">≤ </t>
    </r>
    <r>
      <rPr>
        <sz val="10"/>
        <rFont val="Arial"/>
        <family val="2"/>
      </rPr>
      <t>30,0</t>
    </r>
  </si>
  <si>
    <t>PC</t>
  </si>
  <si>
    <t>UPS</t>
  </si>
  <si>
    <t>LINK CORRIDOR P1</t>
  </si>
  <si>
    <t>E102</t>
  </si>
  <si>
    <t>ELECTRIC ROOM</t>
  </si>
  <si>
    <t>0428</t>
  </si>
  <si>
    <t>Ripresa elicoidale / Griglia alettata</t>
  </si>
  <si>
    <t>Griglia alettata</t>
  </si>
  <si>
    <t>H&amp;V</t>
  </si>
  <si>
    <t>Controsoffitto / Canale alta</t>
  </si>
  <si>
    <t>Canale bassa</t>
  </si>
  <si>
    <t>Diffusore elicoidale / Diffusore alettato direzionabile</t>
  </si>
  <si>
    <t>Griglia forellinata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</si>
</sst>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&quot;L.&quot;\ #,##0;[Red]\-&quot;L.&quot;\ #,##0"/>
    <numFmt numFmtId="165" formatCode="#,##0.0"/>
    <numFmt numFmtId="166" formatCode="0.0"/>
    <numFmt numFmtId="167" formatCode="0.0000"/>
    <numFmt numFmtId="168" formatCode="0.000"/>
    <numFmt numFmtId="169" formatCode="_-* #,##0.00\ [$€-1]_-;\-* #,##0.00\ [$€-1]_-;_-* &quot;-&quot;??\ [$€-1]_-"/>
    <numFmt numFmtId="170" formatCode="General_)"/>
    <numFmt numFmtId="171" formatCode="dd/mm/yy;@"/>
    <numFmt numFmtId="172" formatCode="_-* #,##0_-;\-* #,##0_-;_-* &quot;-&quot;??_-;_-@_-"/>
  </numFmts>
  <fonts count="5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vantGarde Bk BT"/>
      <family val="2"/>
    </font>
    <font>
      <b/>
      <sz val="2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vantGarde Bk BT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Geneva"/>
      <family val="2"/>
    </font>
    <font>
      <sz val="10"/>
      <name val="MS Sans Serif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0"/>
      <name val="Calibri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i/>
      <sz val="12"/>
      <color rgb="FFFF0000"/>
      <name val="Arial"/>
      <family val="2"/>
    </font>
    <font>
      <u/>
      <sz val="10"/>
      <name val="Arial"/>
      <family val="2"/>
    </font>
    <font>
      <sz val="10"/>
      <name val="GreekC"/>
    </font>
    <font>
      <vertAlign val="subscript"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4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2"/>
      <name val="Arial"/>
      <family val="2"/>
    </font>
    <font>
      <i/>
      <sz val="10"/>
      <name val="AvantGarde Bk BT"/>
      <family val="2"/>
    </font>
    <font>
      <b/>
      <sz val="10"/>
      <color rgb="FF7030A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indexed="8"/>
      <name val="AvantGarde Bk BT"/>
      <family val="2"/>
    </font>
    <font>
      <b/>
      <i/>
      <sz val="10"/>
      <color rgb="FFFF0000"/>
      <name val="Arial"/>
      <family val="2"/>
    </font>
    <font>
      <b/>
      <i/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gray0625"/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66">
    <xf numFmtId="0" fontId="0" fillId="0" borderId="0"/>
    <xf numFmtId="170" fontId="29" fillId="2" borderId="0" applyNumberFormat="0" applyBorder="0">
      <alignment horizontal="center" vertical="center"/>
    </xf>
    <xf numFmtId="38" fontId="28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9" fontId="8" fillId="0" borderId="0"/>
    <xf numFmtId="0" fontId="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8" fillId="0" borderId="0"/>
    <xf numFmtId="0" fontId="30" fillId="0" borderId="0"/>
    <xf numFmtId="0" fontId="30" fillId="0" borderId="0"/>
    <xf numFmtId="0" fontId="30" fillId="0" borderId="0"/>
    <xf numFmtId="0" fontId="8" fillId="0" borderId="0"/>
    <xf numFmtId="0" fontId="8" fillId="0" borderId="0"/>
    <xf numFmtId="0" fontId="30" fillId="0" borderId="0"/>
    <xf numFmtId="0" fontId="30" fillId="0" borderId="0"/>
    <xf numFmtId="0" fontId="30" fillId="0" borderId="0"/>
    <xf numFmtId="0" fontId="27" fillId="0" borderId="0"/>
    <xf numFmtId="0" fontId="30" fillId="0" borderId="0"/>
    <xf numFmtId="0" fontId="30" fillId="0" borderId="0"/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6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5" fillId="0" borderId="0"/>
    <xf numFmtId="0" fontId="6" fillId="0" borderId="0"/>
    <xf numFmtId="0" fontId="4" fillId="0" borderId="0"/>
    <xf numFmtId="0" fontId="6" fillId="0" borderId="0"/>
    <xf numFmtId="0" fontId="32" fillId="0" borderId="0">
      <protection locked="0"/>
    </xf>
    <xf numFmtId="43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</cellStyleXfs>
  <cellXfs count="813">
    <xf numFmtId="0" fontId="0" fillId="0" borderId="0" xfId="0"/>
    <xf numFmtId="3" fontId="0" fillId="0" borderId="0" xfId="0" applyNumberFormat="1"/>
    <xf numFmtId="0" fontId="12" fillId="0" borderId="0" xfId="0" applyFont="1"/>
    <xf numFmtId="0" fontId="8" fillId="0" borderId="0" xfId="0" applyFont="1"/>
    <xf numFmtId="0" fontId="0" fillId="0" borderId="0" xfId="0" applyAlignment="1">
      <alignment horizontal="center" vertical="center"/>
    </xf>
    <xf numFmtId="0" fontId="7" fillId="0" borderId="5" xfId="0" applyFont="1" applyBorder="1"/>
    <xf numFmtId="0" fontId="8" fillId="0" borderId="5" xfId="0" applyFont="1" applyBorder="1"/>
    <xf numFmtId="0" fontId="7" fillId="0" borderId="0" xfId="0" applyFo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7" fillId="5" borderId="0" xfId="0" applyFont="1" applyFill="1" applyAlignment="1">
      <alignment horizontal="right"/>
    </xf>
    <xf numFmtId="1" fontId="7" fillId="5" borderId="0" xfId="0" applyNumberFormat="1" applyFont="1" applyFill="1"/>
    <xf numFmtId="1" fontId="7" fillId="0" borderId="0" xfId="0" applyNumberFormat="1" applyFont="1"/>
    <xf numFmtId="0" fontId="8" fillId="0" borderId="6" xfId="0" applyFont="1" applyBorder="1"/>
    <xf numFmtId="0" fontId="8" fillId="0" borderId="7" xfId="0" applyFont="1" applyBorder="1"/>
    <xf numFmtId="168" fontId="8" fillId="3" borderId="0" xfId="0" applyNumberFormat="1" applyFont="1" applyFill="1"/>
    <xf numFmtId="0" fontId="7" fillId="3" borderId="0" xfId="0" applyFont="1" applyFill="1"/>
    <xf numFmtId="0" fontId="7" fillId="0" borderId="7" xfId="0" applyFont="1" applyBorder="1"/>
    <xf numFmtId="0" fontId="7" fillId="0" borderId="7" xfId="0" applyFont="1" applyBorder="1" applyAlignment="1">
      <alignment horizontal="right"/>
    </xf>
    <xf numFmtId="1" fontId="7" fillId="0" borderId="7" xfId="0" applyNumberFormat="1" applyFont="1" applyBorder="1"/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" fontId="7" fillId="6" borderId="1" xfId="0" applyNumberFormat="1" applyFont="1" applyFill="1" applyBorder="1" applyAlignment="1">
      <alignment horizontal="right" vertical="center" wrapText="1"/>
    </xf>
    <xf numFmtId="166" fontId="7" fillId="5" borderId="0" xfId="0" applyNumberFormat="1" applyFont="1" applyFill="1"/>
    <xf numFmtId="166" fontId="7" fillId="0" borderId="0" xfId="0" applyNumberFormat="1" applyFont="1"/>
    <xf numFmtId="166" fontId="7" fillId="0" borderId="7" xfId="0" applyNumberFormat="1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" fontId="7" fillId="3" borderId="1" xfId="0" applyNumberFormat="1" applyFont="1" applyFill="1" applyBorder="1" applyAlignment="1">
      <alignment horizontal="left" vertical="center" wrapText="1"/>
    </xf>
    <xf numFmtId="0" fontId="9" fillId="5" borderId="16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vertical="center" wrapText="1"/>
    </xf>
    <xf numFmtId="166" fontId="15" fillId="0" borderId="0" xfId="0" applyNumberFormat="1" applyFont="1"/>
    <xf numFmtId="0" fontId="17" fillId="0" borderId="0" xfId="0" applyFont="1" applyAlignment="1">
      <alignment wrapText="1"/>
    </xf>
    <xf numFmtId="0" fontId="17" fillId="0" borderId="0" xfId="0" applyFont="1"/>
    <xf numFmtId="0" fontId="15" fillId="0" borderId="0" xfId="0" applyFont="1" applyAlignment="1">
      <alignment vertical="center" wrapText="1"/>
    </xf>
    <xf numFmtId="0" fontId="15" fillId="4" borderId="1" xfId="0" applyFont="1" applyFill="1" applyBorder="1"/>
    <xf numFmtId="0" fontId="15" fillId="0" borderId="0" xfId="0" applyFont="1" applyAlignment="1">
      <alignment horizontal="left" vertical="center"/>
    </xf>
    <xf numFmtId="0" fontId="15" fillId="6" borderId="1" xfId="0" applyFont="1" applyFill="1" applyBorder="1"/>
    <xf numFmtId="0" fontId="15" fillId="3" borderId="1" xfId="0" applyFont="1" applyFill="1" applyBorder="1"/>
    <xf numFmtId="0" fontId="14" fillId="0" borderId="0" xfId="0" applyFont="1" applyAlignment="1">
      <alignment vertical="center"/>
    </xf>
    <xf numFmtId="0" fontId="16" fillId="0" borderId="0" xfId="0" applyFont="1" applyAlignment="1">
      <alignment horizontal="left" vertical="top" wrapText="1"/>
    </xf>
    <xf numFmtId="0" fontId="9" fillId="5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20" fillId="5" borderId="1" xfId="0" applyNumberFormat="1" applyFont="1" applyFill="1" applyBorder="1" applyAlignment="1">
      <alignment horizontal="center" vertical="center" wrapText="1"/>
    </xf>
    <xf numFmtId="3" fontId="20" fillId="5" borderId="1" xfId="0" applyNumberFormat="1" applyFont="1" applyFill="1" applyBorder="1" applyAlignment="1">
      <alignment horizontal="center" vertical="center" wrapText="1"/>
    </xf>
    <xf numFmtId="165" fontId="22" fillId="5" borderId="1" xfId="0" applyNumberFormat="1" applyFont="1" applyFill="1" applyBorder="1" applyAlignment="1">
      <alignment horizontal="center" vertical="center"/>
    </xf>
    <xf numFmtId="3" fontId="20" fillId="5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165" fontId="20" fillId="5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3" fontId="19" fillId="4" borderId="1" xfId="0" applyNumberFormat="1" applyFont="1" applyFill="1" applyBorder="1" applyAlignment="1">
      <alignment horizontal="right" vertical="center"/>
    </xf>
    <xf numFmtId="165" fontId="23" fillId="6" borderId="1" xfId="0" applyNumberFormat="1" applyFont="1" applyFill="1" applyBorder="1" applyAlignment="1">
      <alignment horizontal="right" vertical="center"/>
    </xf>
    <xf numFmtId="3" fontId="23" fillId="6" borderId="1" xfId="0" applyNumberFormat="1" applyFont="1" applyFill="1" applyBorder="1" applyAlignment="1">
      <alignment horizontal="right" vertical="center"/>
    </xf>
    <xf numFmtId="3" fontId="24" fillId="6" borderId="1" xfId="0" applyNumberFormat="1" applyFont="1" applyFill="1" applyBorder="1" applyAlignment="1">
      <alignment horizontal="right" vertical="center"/>
    </xf>
    <xf numFmtId="3" fontId="23" fillId="4" borderId="1" xfId="0" applyNumberFormat="1" applyFont="1" applyFill="1" applyBorder="1" applyAlignment="1">
      <alignment horizontal="right" vertical="center"/>
    </xf>
    <xf numFmtId="3" fontId="21" fillId="4" borderId="1" xfId="0" applyNumberFormat="1" applyFont="1" applyFill="1" applyBorder="1" applyAlignment="1">
      <alignment horizontal="right" vertical="center"/>
    </xf>
    <xf numFmtId="3" fontId="20" fillId="5" borderId="20" xfId="0" applyNumberFormat="1" applyFont="1" applyFill="1" applyBorder="1" applyAlignment="1">
      <alignment vertical="center"/>
    </xf>
    <xf numFmtId="3" fontId="20" fillId="5" borderId="8" xfId="0" applyNumberFormat="1" applyFont="1" applyFill="1" applyBorder="1" applyAlignment="1">
      <alignment vertical="center"/>
    </xf>
    <xf numFmtId="3" fontId="20" fillId="5" borderId="1" xfId="0" applyNumberFormat="1" applyFont="1" applyFill="1" applyBorder="1" applyAlignment="1">
      <alignment horizontal="right" vertical="center"/>
    </xf>
    <xf numFmtId="165" fontId="20" fillId="5" borderId="1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21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21" fillId="0" borderId="22" xfId="0" applyFont="1" applyBorder="1" applyAlignment="1">
      <alignment vertical="center"/>
    </xf>
    <xf numFmtId="3" fontId="20" fillId="0" borderId="0" xfId="0" applyNumberFormat="1" applyFont="1" applyAlignment="1">
      <alignment horizontal="left" vertical="center"/>
    </xf>
    <xf numFmtId="3" fontId="25" fillId="6" borderId="2" xfId="0" applyNumberFormat="1" applyFont="1" applyFill="1" applyBorder="1" applyAlignment="1">
      <alignment horizontal="right" vertical="center"/>
    </xf>
    <xf numFmtId="0" fontId="25" fillId="5" borderId="10" xfId="0" applyFont="1" applyFill="1" applyBorder="1" applyAlignment="1">
      <alignment horizontal="center" vertical="center"/>
    </xf>
    <xf numFmtId="0" fontId="25" fillId="5" borderId="18" xfId="0" applyFont="1" applyFill="1" applyBorder="1" applyAlignment="1">
      <alignment horizontal="center" vertical="center"/>
    </xf>
    <xf numFmtId="3" fontId="20" fillId="0" borderId="0" xfId="0" applyNumberFormat="1" applyFont="1" applyAlignment="1">
      <alignment vertical="center" wrapText="1"/>
    </xf>
    <xf numFmtId="3" fontId="20" fillId="0" borderId="0" xfId="0" applyNumberFormat="1" applyFont="1" applyAlignment="1">
      <alignment vertical="center"/>
    </xf>
    <xf numFmtId="0" fontId="1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8" fillId="0" borderId="0" xfId="0" applyFont="1" applyAlignment="1">
      <alignment vertical="center" wrapText="1"/>
    </xf>
    <xf numFmtId="166" fontId="8" fillId="0" borderId="0" xfId="0" applyNumberFormat="1" applyFont="1" applyAlignment="1">
      <alignment horizontal="right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166" fontId="15" fillId="0" borderId="15" xfId="0" applyNumberFormat="1" applyFont="1" applyBorder="1" applyAlignment="1">
      <alignment horizontal="right" vertical="center"/>
    </xf>
    <xf numFmtId="2" fontId="17" fillId="0" borderId="15" xfId="0" applyNumberFormat="1" applyFont="1" applyBorder="1" applyAlignment="1">
      <alignment horizontal="right" vertical="center"/>
    </xf>
    <xf numFmtId="0" fontId="9" fillId="5" borderId="21" xfId="0" applyFont="1" applyFill="1" applyBorder="1" applyAlignment="1">
      <alignment horizontal="center" vertical="center" wrapText="1"/>
    </xf>
    <xf numFmtId="3" fontId="7" fillId="6" borderId="3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Border="1" applyAlignment="1">
      <alignment horizontal="right" vertical="center"/>
    </xf>
    <xf numFmtId="9" fontId="0" fillId="0" borderId="0" xfId="0" applyNumberFormat="1"/>
    <xf numFmtId="166" fontId="8" fillId="0" borderId="0" xfId="0" applyNumberFormat="1" applyFont="1"/>
    <xf numFmtId="0" fontId="5" fillId="0" borderId="0" xfId="54" applyAlignment="1">
      <alignment horizontal="center" vertical="center"/>
    </xf>
    <xf numFmtId="1" fontId="5" fillId="7" borderId="1" xfId="54" applyNumberFormat="1" applyFill="1" applyBorder="1" applyAlignment="1">
      <alignment horizontal="center" vertical="center"/>
    </xf>
    <xf numFmtId="166" fontId="19" fillId="0" borderId="0" xfId="0" applyNumberFormat="1" applyFont="1" applyAlignment="1">
      <alignment vertical="center"/>
    </xf>
    <xf numFmtId="166" fontId="1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3" fontId="0" fillId="4" borderId="1" xfId="0" applyNumberFormat="1" applyFill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3" fontId="9" fillId="7" borderId="1" xfId="0" applyNumberFormat="1" applyFont="1" applyFill="1" applyBorder="1" applyAlignment="1">
      <alignment horizontal="right" vertical="center"/>
    </xf>
    <xf numFmtId="3" fontId="19" fillId="0" borderId="0" xfId="0" applyNumberFormat="1" applyFont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49" xfId="0" applyFon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0" fontId="6" fillId="0" borderId="0" xfId="0" applyFont="1"/>
    <xf numFmtId="166" fontId="8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0" borderId="0" xfId="0" applyNumberFormat="1"/>
    <xf numFmtId="0" fontId="6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vertical="center"/>
    </xf>
    <xf numFmtId="166" fontId="6" fillId="0" borderId="1" xfId="0" applyNumberFormat="1" applyFont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3" fillId="0" borderId="0" xfId="0" applyFont="1"/>
    <xf numFmtId="165" fontId="10" fillId="0" borderId="1" xfId="0" applyNumberFormat="1" applyFont="1" applyBorder="1" applyAlignment="1">
      <alignment horizontal="right" vertical="center"/>
    </xf>
    <xf numFmtId="165" fontId="10" fillId="6" borderId="1" xfId="0" applyNumberFormat="1" applyFont="1" applyFill="1" applyBorder="1" applyAlignment="1">
      <alignment horizontal="right" vertical="center"/>
    </xf>
    <xf numFmtId="3" fontId="10" fillId="6" borderId="1" xfId="0" applyNumberFormat="1" applyFont="1" applyFill="1" applyBorder="1" applyAlignment="1">
      <alignment horizontal="right" vertical="center"/>
    </xf>
    <xf numFmtId="3" fontId="11" fillId="7" borderId="1" xfId="0" applyNumberFormat="1" applyFont="1" applyFill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 wrapText="1"/>
    </xf>
    <xf numFmtId="1" fontId="6" fillId="4" borderId="1" xfId="0" applyNumberFormat="1" applyFont="1" applyFill="1" applyBorder="1" applyAlignment="1">
      <alignment horizontal="right" vertical="center" wrapText="1"/>
    </xf>
    <xf numFmtId="168" fontId="6" fillId="0" borderId="1" xfId="0" applyNumberFormat="1" applyFont="1" applyBorder="1" applyAlignment="1">
      <alignment horizontal="right" vertical="center" wrapText="1"/>
    </xf>
    <xf numFmtId="1" fontId="7" fillId="0" borderId="1" xfId="0" applyNumberFormat="1" applyFont="1" applyBorder="1" applyAlignment="1">
      <alignment horizontal="right" vertical="center" wrapText="1"/>
    </xf>
    <xf numFmtId="0" fontId="5" fillId="9" borderId="0" xfId="54" applyFill="1" applyAlignment="1">
      <alignment horizontal="center" vertical="center"/>
    </xf>
    <xf numFmtId="166" fontId="5" fillId="9" borderId="0" xfId="54" applyNumberFormat="1" applyFill="1" applyAlignment="1">
      <alignment horizontal="center" vertical="center"/>
    </xf>
    <xf numFmtId="1" fontId="5" fillId="9" borderId="0" xfId="54" applyNumberFormat="1" applyFill="1" applyAlignment="1">
      <alignment horizontal="center" vertical="center"/>
    </xf>
    <xf numFmtId="2" fontId="5" fillId="9" borderId="0" xfId="54" applyNumberFormat="1" applyFill="1" applyAlignment="1">
      <alignment horizontal="center" vertical="center"/>
    </xf>
    <xf numFmtId="0" fontId="5" fillId="10" borderId="0" xfId="54" applyFill="1" applyAlignment="1">
      <alignment horizontal="center" vertical="center"/>
    </xf>
    <xf numFmtId="1" fontId="5" fillId="7" borderId="0" xfId="54" applyNumberForma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right" vertical="center" wrapText="1"/>
    </xf>
    <xf numFmtId="1" fontId="7" fillId="0" borderId="1" xfId="0" applyNumberFormat="1" applyFont="1" applyBorder="1" applyAlignment="1">
      <alignment horizontal="left" vertical="center" wrapText="1"/>
    </xf>
    <xf numFmtId="3" fontId="20" fillId="5" borderId="15" xfId="0" applyNumberFormat="1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3" fontId="0" fillId="4" borderId="1" xfId="0" applyNumberFormat="1" applyFill="1" applyBorder="1"/>
    <xf numFmtId="2" fontId="0" fillId="0" borderId="1" xfId="0" applyNumberFormat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3" fontId="35" fillId="0" borderId="1" xfId="0" applyNumberFormat="1" applyFont="1" applyBorder="1" applyAlignment="1">
      <alignment horizontal="center" vertical="center"/>
    </xf>
    <xf numFmtId="3" fontId="35" fillId="0" borderId="1" xfId="0" applyNumberFormat="1" applyFont="1" applyBorder="1" applyAlignment="1">
      <alignment horizontal="right" vertical="center"/>
    </xf>
    <xf numFmtId="3" fontId="9" fillId="0" borderId="1" xfId="0" applyNumberFormat="1" applyFont="1" applyBorder="1" applyAlignment="1">
      <alignment horizontal="left" vertical="center"/>
    </xf>
    <xf numFmtId="3" fontId="25" fillId="6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0" fontId="0" fillId="12" borderId="0" xfId="0" applyFill="1"/>
    <xf numFmtId="0" fontId="36" fillId="0" borderId="0" xfId="0" applyFont="1"/>
    <xf numFmtId="3" fontId="8" fillId="0" borderId="1" xfId="0" applyNumberFormat="1" applyFont="1" applyBorder="1" applyAlignment="1">
      <alignment horizontal="center"/>
    </xf>
    <xf numFmtId="9" fontId="8" fillId="0" borderId="1" xfId="50" applyFont="1" applyFill="1" applyBorder="1" applyAlignment="1">
      <alignment horizontal="center"/>
    </xf>
    <xf numFmtId="1" fontId="37" fillId="3" borderId="1" xfId="0" applyNumberFormat="1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/>
    </xf>
    <xf numFmtId="0" fontId="6" fillId="0" borderId="8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0" fontId="6" fillId="4" borderId="8" xfId="0" applyFont="1" applyFill="1" applyBorder="1" applyAlignment="1">
      <alignment horizontal="left" vertical="center"/>
    </xf>
    <xf numFmtId="166" fontId="5" fillId="9" borderId="1" xfId="54" applyNumberFormat="1" applyFill="1" applyBorder="1" applyAlignment="1">
      <alignment horizontal="center" vertical="center"/>
    </xf>
    <xf numFmtId="3" fontId="6" fillId="0" borderId="20" xfId="0" applyNumberFormat="1" applyFont="1" applyBorder="1" applyAlignment="1">
      <alignment horizontal="left" vertical="center"/>
    </xf>
    <xf numFmtId="3" fontId="6" fillId="0" borderId="26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/>
    </xf>
    <xf numFmtId="9" fontId="6" fillId="0" borderId="1" xfId="5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0" fontId="6" fillId="0" borderId="15" xfId="0" quotePrefix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3" fontId="8" fillId="0" borderId="43" xfId="0" applyNumberFormat="1" applyFont="1" applyBorder="1" applyAlignment="1">
      <alignment horizontal="left" vertical="center"/>
    </xf>
    <xf numFmtId="166" fontId="5" fillId="0" borderId="19" xfId="54" applyNumberFormat="1" applyBorder="1" applyAlignment="1">
      <alignment horizontal="center" vertical="center"/>
    </xf>
    <xf numFmtId="166" fontId="5" fillId="0" borderId="1" xfId="54" applyNumberFormat="1" applyBorder="1" applyAlignment="1">
      <alignment horizontal="center" vertical="center"/>
    </xf>
    <xf numFmtId="166" fontId="5" fillId="9" borderId="20" xfId="54" applyNumberFormat="1" applyFill="1" applyBorder="1" applyAlignment="1">
      <alignment horizontal="center" vertical="center"/>
    </xf>
    <xf numFmtId="166" fontId="5" fillId="10" borderId="64" xfId="54" applyNumberFormat="1" applyFill="1" applyBorder="1" applyAlignment="1">
      <alignment horizontal="center" vertical="center"/>
    </xf>
    <xf numFmtId="0" fontId="6" fillId="0" borderId="0" xfId="57"/>
    <xf numFmtId="0" fontId="9" fillId="13" borderId="1" xfId="57" applyFont="1" applyFill="1" applyBorder="1" applyAlignment="1">
      <alignment horizontal="center" vertical="center"/>
    </xf>
    <xf numFmtId="0" fontId="9" fillId="0" borderId="0" xfId="57" applyFont="1" applyAlignment="1">
      <alignment horizontal="center" vertical="center"/>
    </xf>
    <xf numFmtId="166" fontId="6" fillId="0" borderId="1" xfId="57" applyNumberFormat="1" applyBorder="1" applyAlignment="1">
      <alignment horizontal="center" vertical="center"/>
    </xf>
    <xf numFmtId="3" fontId="6" fillId="4" borderId="1" xfId="57" applyNumberFormat="1" applyFill="1" applyBorder="1" applyAlignment="1">
      <alignment horizontal="center" vertical="center"/>
    </xf>
    <xf numFmtId="3" fontId="6" fillId="0" borderId="1" xfId="57" applyNumberFormat="1" applyBorder="1" applyAlignment="1">
      <alignment horizontal="center" vertical="center"/>
    </xf>
    <xf numFmtId="165" fontId="6" fillId="4" borderId="1" xfId="57" applyNumberFormat="1" applyFill="1" applyBorder="1" applyAlignment="1">
      <alignment horizontal="center" vertical="center"/>
    </xf>
    <xf numFmtId="1" fontId="6" fillId="0" borderId="0" xfId="57" applyNumberFormat="1"/>
    <xf numFmtId="0" fontId="6" fillId="4" borderId="15" xfId="55" applyFill="1" applyBorder="1" applyAlignment="1">
      <alignment horizontal="left" vertical="center"/>
    </xf>
    <xf numFmtId="0" fontId="6" fillId="0" borderId="0" xfId="57" applyAlignment="1">
      <alignment horizontal="center" vertical="center"/>
    </xf>
    <xf numFmtId="166" fontId="6" fillId="0" borderId="0" xfId="57" applyNumberFormat="1" applyAlignment="1">
      <alignment horizontal="center" vertical="center"/>
    </xf>
    <xf numFmtId="165" fontId="6" fillId="0" borderId="0" xfId="57" applyNumberFormat="1" applyAlignment="1">
      <alignment horizontal="center" vertical="center"/>
    </xf>
    <xf numFmtId="0" fontId="6" fillId="0" borderId="1" xfId="57" applyBorder="1" applyAlignment="1">
      <alignment horizontal="center" vertical="center"/>
    </xf>
    <xf numFmtId="0" fontId="9" fillId="0" borderId="1" xfId="57" applyFont="1" applyBorder="1" applyAlignment="1">
      <alignment horizontal="center" vertical="center"/>
    </xf>
    <xf numFmtId="166" fontId="9" fillId="0" borderId="1" xfId="57" applyNumberFormat="1" applyFont="1" applyBorder="1" applyAlignment="1">
      <alignment horizontal="center" vertical="center"/>
    </xf>
    <xf numFmtId="0" fontId="6" fillId="0" borderId="1" xfId="57" applyBorder="1"/>
    <xf numFmtId="0" fontId="38" fillId="0" borderId="1" xfId="57" applyFont="1" applyBorder="1"/>
    <xf numFmtId="0" fontId="6" fillId="0" borderId="20" xfId="57" applyBorder="1" applyAlignment="1">
      <alignment horizontal="center" vertical="center"/>
    </xf>
    <xf numFmtId="0" fontId="39" fillId="0" borderId="1" xfId="57" applyFont="1" applyBorder="1"/>
    <xf numFmtId="3" fontId="6" fillId="0" borderId="1" xfId="57" applyNumberFormat="1" applyBorder="1" applyAlignment="1">
      <alignment horizontal="center"/>
    </xf>
    <xf numFmtId="166" fontId="6" fillId="4" borderId="1" xfId="57" applyNumberFormat="1" applyFill="1" applyBorder="1" applyAlignment="1">
      <alignment horizontal="center" vertical="center"/>
    </xf>
    <xf numFmtId="0" fontId="6" fillId="0" borderId="0" xfId="57" applyAlignment="1">
      <alignment wrapText="1"/>
    </xf>
    <xf numFmtId="3" fontId="6" fillId="0" borderId="0" xfId="57" applyNumberFormat="1"/>
    <xf numFmtId="1" fontId="33" fillId="0" borderId="0" xfId="0" applyNumberFormat="1" applyFont="1"/>
    <xf numFmtId="0" fontId="9" fillId="5" borderId="1" xfId="57" applyFont="1" applyFill="1" applyBorder="1" applyAlignment="1">
      <alignment horizontal="center" vertical="center" wrapText="1"/>
    </xf>
    <xf numFmtId="0" fontId="9" fillId="13" borderId="15" xfId="57" applyFont="1" applyFill="1" applyBorder="1" applyAlignment="1">
      <alignment horizontal="center" vertical="center" wrapText="1"/>
    </xf>
    <xf numFmtId="0" fontId="6" fillId="0" borderId="0" xfId="55"/>
    <xf numFmtId="3" fontId="9" fillId="5" borderId="1" xfId="55" applyNumberFormat="1" applyFont="1" applyFill="1" applyBorder="1" applyAlignment="1">
      <alignment horizontal="center" vertical="center"/>
    </xf>
    <xf numFmtId="0" fontId="6" fillId="4" borderId="1" xfId="55" applyFill="1" applyBorder="1" applyAlignment="1">
      <alignment horizontal="center" vertical="center"/>
    </xf>
    <xf numFmtId="166" fontId="6" fillId="4" borderId="1" xfId="55" applyNumberFormat="1" applyFill="1" applyBorder="1" applyAlignment="1">
      <alignment horizontal="left" vertical="center"/>
    </xf>
    <xf numFmtId="166" fontId="6" fillId="4" borderId="1" xfId="55" applyNumberFormat="1" applyFill="1" applyBorder="1" applyAlignment="1">
      <alignment horizontal="center" vertical="center"/>
    </xf>
    <xf numFmtId="0" fontId="6" fillId="0" borderId="1" xfId="55" applyBorder="1" applyAlignment="1">
      <alignment horizontal="center" vertical="center"/>
    </xf>
    <xf numFmtId="165" fontId="6" fillId="4" borderId="1" xfId="55" applyNumberFormat="1" applyFill="1" applyBorder="1" applyAlignment="1">
      <alignment horizontal="center" vertical="center"/>
    </xf>
    <xf numFmtId="2" fontId="6" fillId="0" borderId="1" xfId="55" applyNumberFormat="1" applyBorder="1" applyAlignment="1">
      <alignment horizontal="center" vertical="center"/>
    </xf>
    <xf numFmtId="0" fontId="6" fillId="6" borderId="1" xfId="55" applyFill="1" applyBorder="1" applyAlignment="1">
      <alignment horizontal="center" vertical="center"/>
    </xf>
    <xf numFmtId="2" fontId="6" fillId="6" borderId="1" xfId="55" applyNumberFormat="1" applyFill="1" applyBorder="1" applyAlignment="1">
      <alignment horizontal="center" vertical="center"/>
    </xf>
    <xf numFmtId="166" fontId="6" fillId="6" borderId="1" xfId="55" applyNumberFormat="1" applyFill="1" applyBorder="1" applyAlignment="1">
      <alignment horizontal="center" vertical="center"/>
    </xf>
    <xf numFmtId="1" fontId="6" fillId="6" borderId="1" xfId="55" applyNumberFormat="1" applyFill="1" applyBorder="1" applyAlignment="1">
      <alignment horizontal="center" vertical="center"/>
    </xf>
    <xf numFmtId="0" fontId="9" fillId="0" borderId="1" xfId="55" applyFont="1" applyBorder="1" applyAlignment="1">
      <alignment horizontal="center" vertical="center"/>
    </xf>
    <xf numFmtId="165" fontId="9" fillId="6" borderId="1" xfId="55" applyNumberFormat="1" applyFont="1" applyFill="1" applyBorder="1" applyAlignment="1">
      <alignment horizontal="center" vertical="center"/>
    </xf>
    <xf numFmtId="165" fontId="9" fillId="0" borderId="1" xfId="55" applyNumberFormat="1" applyFont="1" applyBorder="1" applyAlignment="1">
      <alignment horizontal="center" vertical="center"/>
    </xf>
    <xf numFmtId="3" fontId="9" fillId="6" borderId="1" xfId="55" applyNumberFormat="1" applyFont="1" applyFill="1" applyBorder="1" applyAlignment="1">
      <alignment horizontal="center" vertical="center"/>
    </xf>
    <xf numFmtId="166" fontId="6" fillId="0" borderId="0" xfId="55" applyNumberFormat="1" applyAlignment="1">
      <alignment horizontal="center"/>
    </xf>
    <xf numFmtId="0" fontId="6" fillId="0" borderId="0" xfId="55" applyAlignment="1">
      <alignment horizontal="center" vertical="center"/>
    </xf>
    <xf numFmtId="0" fontId="6" fillId="0" borderId="0" xfId="57" applyAlignment="1">
      <alignment vertical="center" wrapText="1"/>
    </xf>
    <xf numFmtId="0" fontId="9" fillId="5" borderId="1" xfId="57" applyFont="1" applyFill="1" applyBorder="1" applyAlignment="1">
      <alignment vertical="center" wrapText="1"/>
    </xf>
    <xf numFmtId="0" fontId="6" fillId="4" borderId="15" xfId="55" applyFill="1" applyBorder="1" applyAlignment="1">
      <alignment horizontal="center" vertical="center"/>
    </xf>
    <xf numFmtId="2" fontId="6" fillId="4" borderId="1" xfId="57" applyNumberFormat="1" applyFill="1" applyBorder="1" applyAlignment="1">
      <alignment horizontal="center" vertical="center"/>
    </xf>
    <xf numFmtId="3" fontId="6" fillId="6" borderId="1" xfId="57" applyNumberFormat="1" applyFill="1" applyBorder="1" applyAlignment="1">
      <alignment horizontal="center" vertical="center"/>
    </xf>
    <xf numFmtId="2" fontId="6" fillId="6" borderId="1" xfId="57" applyNumberFormat="1" applyFill="1" applyBorder="1" applyAlignment="1">
      <alignment horizontal="center" vertical="center"/>
    </xf>
    <xf numFmtId="4" fontId="6" fillId="4" borderId="1" xfId="57" applyNumberFormat="1" applyFill="1" applyBorder="1" applyAlignment="1">
      <alignment horizontal="center" vertical="center"/>
    </xf>
    <xf numFmtId="166" fontId="6" fillId="6" borderId="15" xfId="55" applyNumberFormat="1" applyFill="1" applyBorder="1" applyAlignment="1">
      <alignment horizontal="center" vertical="center"/>
    </xf>
    <xf numFmtId="0" fontId="9" fillId="14" borderId="15" xfId="57" applyFont="1" applyFill="1" applyBorder="1" applyAlignment="1">
      <alignment horizontal="center" vertical="center" wrapText="1"/>
    </xf>
    <xf numFmtId="0" fontId="9" fillId="14" borderId="1" xfId="57" applyFont="1" applyFill="1" applyBorder="1" applyAlignment="1">
      <alignment horizontal="center" vertical="center"/>
    </xf>
    <xf numFmtId="0" fontId="6" fillId="6" borderId="15" xfId="55" applyFill="1" applyBorder="1" applyAlignment="1">
      <alignment horizontal="left" vertical="center"/>
    </xf>
    <xf numFmtId="0" fontId="6" fillId="6" borderId="15" xfId="55" applyFill="1" applyBorder="1" applyAlignment="1">
      <alignment horizontal="center" vertical="center"/>
    </xf>
    <xf numFmtId="1" fontId="6" fillId="6" borderId="1" xfId="57" applyNumberFormat="1" applyFill="1" applyBorder="1" applyAlignment="1">
      <alignment horizontal="center" vertical="center"/>
    </xf>
    <xf numFmtId="0" fontId="6" fillId="0" borderId="0" xfId="57" applyAlignment="1">
      <alignment horizontal="right" vertical="center"/>
    </xf>
    <xf numFmtId="9" fontId="6" fillId="4" borderId="1" xfId="60" applyFont="1" applyFill="1" applyBorder="1" applyAlignment="1">
      <alignment horizontal="center" vertical="center"/>
    </xf>
    <xf numFmtId="2" fontId="6" fillId="6" borderId="20" xfId="57" applyNumberFormat="1" applyFill="1" applyBorder="1" applyAlignment="1">
      <alignment horizontal="center" vertical="center"/>
    </xf>
    <xf numFmtId="166" fontId="6" fillId="6" borderId="1" xfId="57" applyNumberFormat="1" applyFill="1" applyBorder="1" applyAlignment="1">
      <alignment horizontal="center" vertical="center"/>
    </xf>
    <xf numFmtId="0" fontId="6" fillId="0" borderId="0" xfId="57" applyAlignment="1">
      <alignment horizontal="right"/>
    </xf>
    <xf numFmtId="0" fontId="6" fillId="0" borderId="0" xfId="57" applyAlignment="1">
      <alignment horizontal="center"/>
    </xf>
    <xf numFmtId="0" fontId="6" fillId="0" borderId="1" xfId="57" applyBorder="1" applyAlignment="1">
      <alignment horizontal="right"/>
    </xf>
    <xf numFmtId="165" fontId="6" fillId="6" borderId="1" xfId="57" applyNumberFormat="1" applyFill="1" applyBorder="1" applyAlignment="1">
      <alignment horizontal="right"/>
    </xf>
    <xf numFmtId="3" fontId="6" fillId="0" borderId="1" xfId="57" applyNumberFormat="1" applyBorder="1" applyAlignment="1">
      <alignment horizontal="right"/>
    </xf>
    <xf numFmtId="10" fontId="6" fillId="0" borderId="1" xfId="57" applyNumberFormat="1" applyBorder="1" applyAlignment="1">
      <alignment horizontal="right"/>
    </xf>
    <xf numFmtId="4" fontId="6" fillId="0" borderId="1" xfId="57" applyNumberFormat="1" applyBorder="1" applyAlignment="1">
      <alignment horizontal="right"/>
    </xf>
    <xf numFmtId="0" fontId="6" fillId="0" borderId="1" xfId="57" applyBorder="1" applyAlignment="1">
      <alignment wrapText="1"/>
    </xf>
    <xf numFmtId="0" fontId="6" fillId="0" borderId="1" xfId="57" applyBorder="1" applyAlignment="1">
      <alignment horizontal="right" vertical="center"/>
    </xf>
    <xf numFmtId="0" fontId="6" fillId="0" borderId="1" xfId="57" applyBorder="1" applyAlignment="1">
      <alignment horizontal="right" vertical="center" wrapText="1"/>
    </xf>
    <xf numFmtId="4" fontId="6" fillId="6" borderId="1" xfId="57" applyNumberFormat="1" applyFill="1" applyBorder="1" applyAlignment="1">
      <alignment horizontal="right"/>
    </xf>
    <xf numFmtId="3" fontId="6" fillId="6" borderId="1" xfId="57" applyNumberFormat="1" applyFill="1" applyBorder="1" applyAlignment="1">
      <alignment horizontal="right"/>
    </xf>
    <xf numFmtId="166" fontId="6" fillId="6" borderId="1" xfId="57" applyNumberFormat="1" applyFill="1" applyBorder="1" applyAlignment="1">
      <alignment horizontal="right"/>
    </xf>
    <xf numFmtId="166" fontId="6" fillId="0" borderId="1" xfId="57" applyNumberFormat="1" applyBorder="1" applyAlignment="1">
      <alignment horizontal="right"/>
    </xf>
    <xf numFmtId="165" fontId="6" fillId="0" borderId="1" xfId="57" applyNumberFormat="1" applyBorder="1" applyAlignment="1">
      <alignment horizontal="right"/>
    </xf>
    <xf numFmtId="1" fontId="6" fillId="0" borderId="1" xfId="57" applyNumberFormat="1" applyBorder="1" applyAlignment="1">
      <alignment horizontal="right"/>
    </xf>
    <xf numFmtId="0" fontId="31" fillId="0" borderId="0" xfId="62" applyFont="1"/>
    <xf numFmtId="0" fontId="3" fillId="0" borderId="0" xfId="62"/>
    <xf numFmtId="0" fontId="31" fillId="0" borderId="8" xfId="62" applyFont="1" applyBorder="1" applyAlignment="1">
      <alignment horizontal="center" vertical="center"/>
    </xf>
    <xf numFmtId="0" fontId="6" fillId="0" borderId="16" xfId="62" applyFont="1" applyBorder="1" applyAlignment="1">
      <alignment horizontal="center" vertical="center"/>
    </xf>
    <xf numFmtId="0" fontId="31" fillId="0" borderId="20" xfId="62" applyFont="1" applyBorder="1" applyAlignment="1">
      <alignment vertical="center"/>
    </xf>
    <xf numFmtId="0" fontId="31" fillId="0" borderId="1" xfId="62" applyFont="1" applyBorder="1" applyAlignment="1">
      <alignment horizontal="center" vertical="center"/>
    </xf>
    <xf numFmtId="171" fontId="31" fillId="0" borderId="8" xfId="62" applyNumberFormat="1" applyFont="1" applyBorder="1" applyAlignment="1">
      <alignment horizontal="center" vertical="center"/>
    </xf>
    <xf numFmtId="0" fontId="45" fillId="0" borderId="0" xfId="62" applyFont="1"/>
    <xf numFmtId="0" fontId="9" fillId="5" borderId="4" xfId="0" applyFont="1" applyFill="1" applyBorder="1" applyAlignment="1">
      <alignment horizontal="center" vertical="center" wrapText="1"/>
    </xf>
    <xf numFmtId="172" fontId="6" fillId="4" borderId="1" xfId="59" applyNumberFormat="1" applyFont="1" applyFill="1" applyBorder="1" applyAlignment="1">
      <alignment horizontal="right" vertical="center"/>
    </xf>
    <xf numFmtId="168" fontId="6" fillId="0" borderId="1" xfId="57" applyNumberFormat="1" applyBorder="1" applyAlignment="1">
      <alignment horizontal="center" vertical="center"/>
    </xf>
    <xf numFmtId="168" fontId="6" fillId="0" borderId="0" xfId="57" applyNumberFormat="1" applyAlignment="1">
      <alignment horizontal="center" vertical="center"/>
    </xf>
    <xf numFmtId="0" fontId="42" fillId="0" borderId="1" xfId="57" applyFont="1" applyBorder="1" applyAlignment="1">
      <alignment wrapText="1"/>
    </xf>
    <xf numFmtId="165" fontId="6" fillId="6" borderId="1" xfId="57" applyNumberForma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" fontId="23" fillId="4" borderId="1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right"/>
    </xf>
    <xf numFmtId="2" fontId="6" fillId="3" borderId="1" xfId="0" applyNumberFormat="1" applyFont="1" applyFill="1" applyBorder="1" applyAlignment="1">
      <alignment horizontal="right" vertical="center" wrapText="1"/>
    </xf>
    <xf numFmtId="3" fontId="35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9" fontId="9" fillId="0" borderId="0" xfId="50" applyFont="1" applyAlignment="1">
      <alignment horizontal="center" vertical="center"/>
    </xf>
    <xf numFmtId="9" fontId="0" fillId="4" borderId="1" xfId="0" applyNumberFormat="1" applyFill="1" applyBorder="1"/>
    <xf numFmtId="1" fontId="0" fillId="4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right" vertical="center"/>
    </xf>
    <xf numFmtId="0" fontId="6" fillId="0" borderId="1" xfId="0" quotePrefix="1" applyFont="1" applyBorder="1" applyAlignment="1">
      <alignment horizontal="right" vertical="center" wrapText="1"/>
    </xf>
    <xf numFmtId="166" fontId="5" fillId="0" borderId="0" xfId="54" applyNumberFormat="1" applyAlignment="1">
      <alignment horizontal="center" vertical="center"/>
    </xf>
    <xf numFmtId="166" fontId="5" fillId="10" borderId="0" xfId="54" applyNumberForma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2" fontId="42" fillId="0" borderId="1" xfId="0" applyNumberFormat="1" applyFont="1" applyBorder="1" applyAlignment="1">
      <alignment horizontal="right" vertical="center" wrapText="1"/>
    </xf>
    <xf numFmtId="1" fontId="48" fillId="3" borderId="1" xfId="0" applyNumberFormat="1" applyFont="1" applyFill="1" applyBorder="1" applyAlignment="1">
      <alignment horizontal="left" vertical="center" wrapText="1"/>
    </xf>
    <xf numFmtId="0" fontId="49" fillId="0" borderId="0" xfId="0" applyFont="1"/>
    <xf numFmtId="3" fontId="50" fillId="7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3" fontId="6" fillId="0" borderId="1" xfId="0" quotePrefix="1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left"/>
    </xf>
    <xf numFmtId="3" fontId="6" fillId="0" borderId="43" xfId="0" applyNumberFormat="1" applyFont="1" applyBorder="1" applyAlignment="1">
      <alignment horizontal="left" vertical="center"/>
    </xf>
    <xf numFmtId="172" fontId="6" fillId="0" borderId="1" xfId="59" applyNumberFormat="1" applyFont="1" applyFill="1" applyBorder="1" applyAlignment="1">
      <alignment horizontal="right" vertical="center"/>
    </xf>
    <xf numFmtId="1" fontId="8" fillId="4" borderId="1" xfId="0" applyNumberFormat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3" fontId="19" fillId="0" borderId="0" xfId="0" applyNumberFormat="1" applyFont="1" applyAlignment="1">
      <alignment horizontal="left" vertical="center"/>
    </xf>
    <xf numFmtId="0" fontId="52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/>
    </xf>
    <xf numFmtId="0" fontId="6" fillId="0" borderId="49" xfId="0" quotePrefix="1" applyFon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39" xfId="0" quotePrefix="1" applyFont="1" applyBorder="1" applyAlignment="1">
      <alignment horizontal="center" vertical="center"/>
    </xf>
    <xf numFmtId="0" fontId="6" fillId="3" borderId="15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left" vertical="center"/>
    </xf>
    <xf numFmtId="166" fontId="6" fillId="3" borderId="1" xfId="0" applyNumberFormat="1" applyFont="1" applyFill="1" applyBorder="1" applyAlignment="1">
      <alignment horizontal="right" vertical="center"/>
    </xf>
    <xf numFmtId="166" fontId="6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2" fontId="6" fillId="6" borderId="1" xfId="57" applyNumberFormat="1" applyFill="1" applyBorder="1"/>
    <xf numFmtId="2" fontId="6" fillId="4" borderId="1" xfId="57" applyNumberFormat="1" applyFill="1" applyBorder="1"/>
    <xf numFmtId="2" fontId="6" fillId="0" borderId="1" xfId="57" applyNumberFormat="1" applyBorder="1" applyAlignment="1">
      <alignment horizontal="center" vertical="center"/>
    </xf>
    <xf numFmtId="166" fontId="6" fillId="6" borderId="0" xfId="57" applyNumberFormat="1" applyFill="1" applyAlignment="1">
      <alignment horizontal="center" vertical="center"/>
    </xf>
    <xf numFmtId="165" fontId="6" fillId="0" borderId="0" xfId="57" applyNumberFormat="1" applyAlignment="1">
      <alignment horizontal="center"/>
    </xf>
    <xf numFmtId="3" fontId="6" fillId="11" borderId="26" xfId="0" applyNumberFormat="1" applyFont="1" applyFill="1" applyBorder="1" applyAlignment="1">
      <alignment horizontal="left" vertical="center"/>
    </xf>
    <xf numFmtId="3" fontId="6" fillId="11" borderId="1" xfId="0" applyNumberFormat="1" applyFont="1" applyFill="1" applyBorder="1" applyAlignment="1">
      <alignment horizontal="center"/>
    </xf>
    <xf numFmtId="3" fontId="8" fillId="11" borderId="1" xfId="0" applyNumberFormat="1" applyFont="1" applyFill="1" applyBorder="1" applyAlignment="1">
      <alignment horizontal="center"/>
    </xf>
    <xf numFmtId="3" fontId="6" fillId="11" borderId="51" xfId="0" applyNumberFormat="1" applyFont="1" applyFill="1" applyBorder="1" applyAlignment="1">
      <alignment horizontal="left" vertical="center"/>
    </xf>
    <xf numFmtId="0" fontId="42" fillId="0" borderId="1" xfId="57" applyFont="1" applyBorder="1"/>
    <xf numFmtId="1" fontId="6" fillId="3" borderId="1" xfId="0" quotePrefix="1" applyNumberFormat="1" applyFont="1" applyFill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/>
    </xf>
    <xf numFmtId="0" fontId="6" fillId="4" borderId="14" xfId="55" applyFill="1" applyBorder="1" applyAlignment="1">
      <alignment horizontal="left" vertical="center"/>
    </xf>
    <xf numFmtId="0" fontId="6" fillId="4" borderId="14" xfId="55" applyFill="1" applyBorder="1" applyAlignment="1">
      <alignment horizontal="center" vertical="center"/>
    </xf>
    <xf numFmtId="166" fontId="6" fillId="4" borderId="16" xfId="57" applyNumberFormat="1" applyFill="1" applyBorder="1" applyAlignment="1">
      <alignment horizontal="center" vertical="center"/>
    </xf>
    <xf numFmtId="3" fontId="6" fillId="4" borderId="16" xfId="57" applyNumberFormat="1" applyFill="1" applyBorder="1" applyAlignment="1">
      <alignment horizontal="center" vertical="center"/>
    </xf>
    <xf numFmtId="3" fontId="6" fillId="6" borderId="16" xfId="57" applyNumberFormat="1" applyFill="1" applyBorder="1" applyAlignment="1">
      <alignment horizontal="center" vertical="center"/>
    </xf>
    <xf numFmtId="2" fontId="6" fillId="4" borderId="16" xfId="57" applyNumberFormat="1" applyFill="1" applyBorder="1" applyAlignment="1">
      <alignment horizontal="center" vertical="center"/>
    </xf>
    <xf numFmtId="165" fontId="6" fillId="4" borderId="16" xfId="57" applyNumberFormat="1" applyFill="1" applyBorder="1" applyAlignment="1">
      <alignment horizontal="center" vertical="center"/>
    </xf>
    <xf numFmtId="165" fontId="6" fillId="6" borderId="16" xfId="57" applyNumberFormat="1" applyFill="1" applyBorder="1" applyAlignment="1">
      <alignment horizontal="center" vertical="center"/>
    </xf>
    <xf numFmtId="0" fontId="6" fillId="4" borderId="1" xfId="55" applyFill="1" applyBorder="1" applyAlignment="1">
      <alignment horizontal="left" vertical="center"/>
    </xf>
    <xf numFmtId="0" fontId="6" fillId="6" borderId="14" xfId="55" applyFill="1" applyBorder="1" applyAlignment="1">
      <alignment horizontal="left" vertical="center"/>
    </xf>
    <xf numFmtId="0" fontId="6" fillId="6" borderId="14" xfId="55" applyFill="1" applyBorder="1" applyAlignment="1">
      <alignment horizontal="center" vertical="center"/>
    </xf>
    <xf numFmtId="166" fontId="6" fillId="6" borderId="16" xfId="57" applyNumberFormat="1" applyFill="1" applyBorder="1" applyAlignment="1">
      <alignment horizontal="center" vertical="center"/>
    </xf>
    <xf numFmtId="2" fontId="6" fillId="6" borderId="16" xfId="57" applyNumberFormat="1" applyFill="1" applyBorder="1" applyAlignment="1">
      <alignment horizontal="center" vertical="center"/>
    </xf>
    <xf numFmtId="4" fontId="6" fillId="4" borderId="16" xfId="57" applyNumberFormat="1" applyFill="1" applyBorder="1" applyAlignment="1">
      <alignment horizontal="center" vertical="center"/>
    </xf>
    <xf numFmtId="0" fontId="6" fillId="6" borderId="1" xfId="55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3" fontId="0" fillId="0" borderId="1" xfId="0" applyNumberFormat="1" applyBorder="1"/>
    <xf numFmtId="165" fontId="0" fillId="4" borderId="1" xfId="0" applyNumberForma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6" fillId="5" borderId="1" xfId="55" applyFill="1" applyBorder="1" applyAlignment="1">
      <alignment horizontal="center" vertical="center"/>
    </xf>
    <xf numFmtId="4" fontId="6" fillId="5" borderId="1" xfId="55" applyNumberFormat="1" applyFill="1" applyBorder="1" applyAlignment="1">
      <alignment horizontal="center" vertical="center"/>
    </xf>
    <xf numFmtId="0" fontId="6" fillId="5" borderId="1" xfId="55" applyFill="1" applyBorder="1" applyAlignment="1">
      <alignment horizontal="center"/>
    </xf>
    <xf numFmtId="4" fontId="6" fillId="5" borderId="1" xfId="55" applyNumberFormat="1" applyFill="1" applyBorder="1" applyAlignment="1">
      <alignment horizontal="center"/>
    </xf>
    <xf numFmtId="0" fontId="6" fillId="5" borderId="16" xfId="55" applyFill="1" applyBorder="1" applyAlignment="1">
      <alignment horizontal="center"/>
    </xf>
    <xf numFmtId="9" fontId="6" fillId="0" borderId="0" xfId="55" applyNumberFormat="1"/>
    <xf numFmtId="0" fontId="6" fillId="0" borderId="0" xfId="55" applyAlignment="1">
      <alignment horizontal="center"/>
    </xf>
    <xf numFmtId="0" fontId="9" fillId="0" borderId="0" xfId="55" applyFont="1" applyAlignment="1">
      <alignment horizontal="center"/>
    </xf>
    <xf numFmtId="0" fontId="6" fillId="0" borderId="0" xfId="55" applyAlignment="1">
      <alignment vertical="center" wrapText="1"/>
    </xf>
    <xf numFmtId="0" fontId="9" fillId="0" borderId="23" xfId="55" applyFont="1" applyBorder="1" applyAlignment="1">
      <alignment horizontal="center" vertical="center" wrapText="1"/>
    </xf>
    <xf numFmtId="3" fontId="6" fillId="0" borderId="57" xfId="55" applyNumberFormat="1" applyBorder="1" applyAlignment="1">
      <alignment horizontal="center" vertical="center"/>
    </xf>
    <xf numFmtId="0" fontId="6" fillId="0" borderId="2" xfId="55" applyBorder="1" applyAlignment="1">
      <alignment horizontal="center" vertical="center"/>
    </xf>
    <xf numFmtId="0" fontId="9" fillId="0" borderId="2" xfId="55" applyFont="1" applyBorder="1" applyAlignment="1">
      <alignment horizontal="center" vertical="center"/>
    </xf>
    <xf numFmtId="0" fontId="6" fillId="0" borderId="10" xfId="55" applyBorder="1"/>
    <xf numFmtId="0" fontId="9" fillId="0" borderId="24" xfId="55" applyFont="1" applyBorder="1" applyAlignment="1">
      <alignment horizontal="center" vertical="center" wrapText="1"/>
    </xf>
    <xf numFmtId="3" fontId="6" fillId="4" borderId="1" xfId="55" applyNumberFormat="1" applyFill="1" applyBorder="1" applyAlignment="1">
      <alignment horizontal="center" vertical="center"/>
    </xf>
    <xf numFmtId="3" fontId="6" fillId="0" borderId="1" xfId="55" applyNumberFormat="1" applyBorder="1" applyAlignment="1">
      <alignment horizontal="center" vertical="center"/>
    </xf>
    <xf numFmtId="0" fontId="6" fillId="0" borderId="16" xfId="55" applyBorder="1" applyAlignment="1">
      <alignment horizontal="center" vertical="center"/>
    </xf>
    <xf numFmtId="0" fontId="9" fillId="0" borderId="16" xfId="55" applyFont="1" applyBorder="1" applyAlignment="1">
      <alignment horizontal="center" vertical="center"/>
    </xf>
    <xf numFmtId="0" fontId="6" fillId="0" borderId="17" xfId="55" applyBorder="1"/>
    <xf numFmtId="3" fontId="6" fillId="4" borderId="15" xfId="55" applyNumberFormat="1" applyFill="1" applyBorder="1" applyAlignment="1">
      <alignment horizontal="center" vertical="center"/>
    </xf>
    <xf numFmtId="0" fontId="9" fillId="0" borderId="25" xfId="55" applyFont="1" applyBorder="1" applyAlignment="1">
      <alignment horizontal="center" vertical="center" wrapText="1"/>
    </xf>
    <xf numFmtId="0" fontId="6" fillId="4" borderId="3" xfId="55" applyFill="1" applyBorder="1" applyAlignment="1">
      <alignment horizontal="center" vertical="center"/>
    </xf>
    <xf numFmtId="0" fontId="6" fillId="4" borderId="3" xfId="55" applyFill="1" applyBorder="1" applyAlignment="1">
      <alignment horizontal="left" vertical="center"/>
    </xf>
    <xf numFmtId="3" fontId="6" fillId="4" borderId="3" xfId="55" applyNumberFormat="1" applyFill="1" applyBorder="1" applyAlignment="1">
      <alignment horizontal="center" vertical="center"/>
    </xf>
    <xf numFmtId="3" fontId="11" fillId="6" borderId="3" xfId="55" applyNumberFormat="1" applyFont="1" applyFill="1" applyBorder="1" applyAlignment="1">
      <alignment horizontal="center" vertical="center"/>
    </xf>
    <xf numFmtId="165" fontId="6" fillId="4" borderId="3" xfId="55" applyNumberFormat="1" applyFill="1" applyBorder="1" applyAlignment="1">
      <alignment horizontal="center" vertical="center"/>
    </xf>
    <xf numFmtId="165" fontId="10" fillId="0" borderId="3" xfId="55" applyNumberFormat="1" applyFont="1" applyBorder="1" applyAlignment="1">
      <alignment horizontal="center" vertical="center"/>
    </xf>
    <xf numFmtId="3" fontId="6" fillId="6" borderId="3" xfId="55" applyNumberFormat="1" applyFill="1" applyBorder="1" applyAlignment="1">
      <alignment horizontal="center" vertical="center"/>
    </xf>
    <xf numFmtId="3" fontId="9" fillId="0" borderId="3" xfId="55" applyNumberFormat="1" applyFont="1" applyBorder="1" applyAlignment="1">
      <alignment horizontal="center" vertical="center"/>
    </xf>
    <xf numFmtId="3" fontId="9" fillId="6" borderId="3" xfId="55" applyNumberFormat="1" applyFont="1" applyFill="1" applyBorder="1" applyAlignment="1">
      <alignment horizontal="center" vertical="center"/>
    </xf>
    <xf numFmtId="2" fontId="9" fillId="6" borderId="3" xfId="55" applyNumberFormat="1" applyFont="1" applyFill="1" applyBorder="1" applyAlignment="1">
      <alignment horizontal="center" vertical="center"/>
    </xf>
    <xf numFmtId="2" fontId="6" fillId="6" borderId="3" xfId="55" applyNumberFormat="1" applyFill="1" applyBorder="1" applyAlignment="1">
      <alignment horizontal="center" vertical="center"/>
    </xf>
    <xf numFmtId="166" fontId="6" fillId="6" borderId="4" xfId="55" applyNumberFormat="1" applyFill="1" applyBorder="1" applyAlignment="1">
      <alignment horizontal="center"/>
    </xf>
    <xf numFmtId="2" fontId="6" fillId="0" borderId="0" xfId="55" applyNumberFormat="1" applyAlignment="1">
      <alignment horizontal="center"/>
    </xf>
    <xf numFmtId="2" fontId="6" fillId="0" borderId="2" xfId="55" applyNumberFormat="1" applyBorder="1" applyAlignment="1">
      <alignment horizontal="center" vertical="center"/>
    </xf>
    <xf numFmtId="0" fontId="6" fillId="0" borderId="18" xfId="55" applyBorder="1"/>
    <xf numFmtId="2" fontId="6" fillId="0" borderId="16" xfId="55" applyNumberFormat="1" applyBorder="1" applyAlignment="1">
      <alignment horizontal="center" vertical="center"/>
    </xf>
    <xf numFmtId="0" fontId="10" fillId="4" borderId="3" xfId="55" applyFont="1" applyFill="1" applyBorder="1" applyAlignment="1">
      <alignment horizontal="center" vertical="center"/>
    </xf>
    <xf numFmtId="0" fontId="6" fillId="4" borderId="2" xfId="55" applyFill="1" applyBorder="1" applyAlignment="1">
      <alignment horizontal="center" vertical="center"/>
    </xf>
    <xf numFmtId="3" fontId="6" fillId="4" borderId="2" xfId="55" applyNumberFormat="1" applyFill="1" applyBorder="1" applyAlignment="1">
      <alignment horizontal="center" vertical="center"/>
    </xf>
    <xf numFmtId="3" fontId="6" fillId="0" borderId="2" xfId="55" applyNumberFormat="1" applyBorder="1" applyAlignment="1">
      <alignment horizontal="center" vertical="center"/>
    </xf>
    <xf numFmtId="0" fontId="9" fillId="5" borderId="8" xfId="55" applyFont="1" applyFill="1" applyBorder="1" applyAlignment="1">
      <alignment horizontal="right" vertical="center"/>
    </xf>
    <xf numFmtId="3" fontId="9" fillId="5" borderId="1" xfId="55" applyNumberFormat="1" applyFont="1" applyFill="1" applyBorder="1" applyAlignment="1">
      <alignment horizontal="center"/>
    </xf>
    <xf numFmtId="3" fontId="10" fillId="5" borderId="1" xfId="55" applyNumberFormat="1" applyFont="1" applyFill="1" applyBorder="1" applyAlignment="1">
      <alignment horizontal="center"/>
    </xf>
    <xf numFmtId="3" fontId="6" fillId="5" borderId="1" xfId="55" applyNumberFormat="1" applyFill="1" applyBorder="1" applyAlignment="1">
      <alignment horizontal="center"/>
    </xf>
    <xf numFmtId="4" fontId="9" fillId="5" borderId="1" xfId="55" applyNumberFormat="1" applyFont="1" applyFill="1" applyBorder="1" applyAlignment="1">
      <alignment horizontal="center"/>
    </xf>
    <xf numFmtId="167" fontId="6" fillId="5" borderId="1" xfId="55" applyNumberFormat="1" applyFill="1" applyBorder="1" applyAlignment="1">
      <alignment horizontal="center"/>
    </xf>
    <xf numFmtId="0" fontId="6" fillId="5" borderId="1" xfId="55" applyFill="1" applyBorder="1"/>
    <xf numFmtId="165" fontId="6" fillId="6" borderId="15" xfId="0" applyNumberFormat="1" applyFont="1" applyFill="1" applyBorder="1" applyAlignment="1">
      <alignment horizontal="right" vertical="center"/>
    </xf>
    <xf numFmtId="165" fontId="6" fillId="0" borderId="15" xfId="0" applyNumberFormat="1" applyFont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3" fontId="6" fillId="11" borderId="1" xfId="0" applyNumberFormat="1" applyFont="1" applyFill="1" applyBorder="1" applyAlignment="1">
      <alignment horizontal="left"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center" vertical="center"/>
    </xf>
    <xf numFmtId="165" fontId="2" fillId="15" borderId="1" xfId="63" applyNumberFormat="1" applyBorder="1" applyAlignment="1">
      <alignment horizontal="right" vertical="center"/>
    </xf>
    <xf numFmtId="3" fontId="50" fillId="4" borderId="1" xfId="0" applyNumberFormat="1" applyFont="1" applyFill="1" applyBorder="1" applyAlignment="1">
      <alignment horizontal="right" vertical="center"/>
    </xf>
    <xf numFmtId="0" fontId="42" fillId="3" borderId="15" xfId="0" applyFont="1" applyFill="1" applyBorder="1" applyAlignment="1">
      <alignment vertical="center" wrapText="1"/>
    </xf>
    <xf numFmtId="0" fontId="42" fillId="3" borderId="1" xfId="0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right" vertical="center"/>
    </xf>
    <xf numFmtId="166" fontId="42" fillId="3" borderId="1" xfId="0" applyNumberFormat="1" applyFont="1" applyFill="1" applyBorder="1" applyAlignment="1">
      <alignment horizontal="center" vertical="center"/>
    </xf>
    <xf numFmtId="3" fontId="42" fillId="6" borderId="1" xfId="0" applyNumberFormat="1" applyFont="1" applyFill="1" applyBorder="1" applyAlignment="1">
      <alignment horizontal="right" vertical="center"/>
    </xf>
    <xf numFmtId="172" fontId="42" fillId="4" borderId="1" xfId="59" applyNumberFormat="1" applyFont="1" applyFill="1" applyBorder="1" applyAlignment="1">
      <alignment horizontal="right" vertical="center"/>
    </xf>
    <xf numFmtId="0" fontId="42" fillId="0" borderId="0" xfId="0" applyFont="1"/>
    <xf numFmtId="0" fontId="42" fillId="3" borderId="8" xfId="0" applyFont="1" applyFill="1" applyBorder="1" applyAlignment="1">
      <alignment horizontal="left" vertical="center" wrapText="1"/>
    </xf>
    <xf numFmtId="0" fontId="42" fillId="3" borderId="1" xfId="0" quotePrefix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65" fontId="1" fillId="16" borderId="1" xfId="64" applyNumberFormat="1" applyBorder="1" applyAlignment="1">
      <alignment horizontal="right" vertical="center"/>
    </xf>
    <xf numFmtId="0" fontId="16" fillId="5" borderId="43" xfId="0" applyFont="1" applyFill="1" applyBorder="1" applyAlignment="1">
      <alignment horizontal="center" vertical="center"/>
    </xf>
    <xf numFmtId="0" fontId="16" fillId="5" borderId="53" xfId="0" applyFont="1" applyFill="1" applyBorder="1" applyAlignment="1">
      <alignment horizontal="center" vertical="center" wrapText="1"/>
    </xf>
    <xf numFmtId="0" fontId="16" fillId="5" borderId="53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42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left" vertical="center" wrapText="1"/>
    </xf>
    <xf numFmtId="0" fontId="53" fillId="4" borderId="1" xfId="0" applyFont="1" applyFill="1" applyBorder="1" applyAlignment="1">
      <alignment horizontal="center" vertical="center"/>
    </xf>
    <xf numFmtId="1" fontId="53" fillId="4" borderId="1" xfId="0" applyNumberFormat="1" applyFont="1" applyFill="1" applyBorder="1" applyAlignment="1">
      <alignment horizontal="center" vertical="center"/>
    </xf>
    <xf numFmtId="165" fontId="42" fillId="4" borderId="1" xfId="0" applyNumberFormat="1" applyFont="1" applyFill="1" applyBorder="1" applyAlignment="1">
      <alignment horizontal="right" vertical="center"/>
    </xf>
    <xf numFmtId="3" fontId="42" fillId="4" borderId="1" xfId="0" applyNumberFormat="1" applyFont="1" applyFill="1" applyBorder="1" applyAlignment="1">
      <alignment horizontal="right" vertical="center"/>
    </xf>
    <xf numFmtId="3" fontId="54" fillId="0" borderId="1" xfId="0" applyNumberFormat="1" applyFont="1" applyBorder="1" applyAlignment="1">
      <alignment horizontal="right" vertical="center"/>
    </xf>
    <xf numFmtId="165" fontId="55" fillId="17" borderId="1" xfId="65" applyNumberFormat="1" applyFont="1" applyBorder="1" applyAlignment="1">
      <alignment horizontal="right" vertical="center"/>
    </xf>
    <xf numFmtId="3" fontId="53" fillId="6" borderId="1" xfId="0" applyNumberFormat="1" applyFont="1" applyFill="1" applyBorder="1" applyAlignment="1">
      <alignment horizontal="right" vertical="center"/>
    </xf>
    <xf numFmtId="3" fontId="56" fillId="6" borderId="1" xfId="0" applyNumberFormat="1" applyFont="1" applyFill="1" applyBorder="1" applyAlignment="1">
      <alignment horizontal="right" vertical="center"/>
    </xf>
    <xf numFmtId="3" fontId="54" fillId="7" borderId="1" xfId="0" applyNumberFormat="1" applyFont="1" applyFill="1" applyBorder="1" applyAlignment="1">
      <alignment horizontal="right" vertical="center"/>
    </xf>
    <xf numFmtId="3" fontId="57" fillId="0" borderId="1" xfId="0" applyNumberFormat="1" applyFont="1" applyBorder="1" applyAlignment="1">
      <alignment horizontal="right" vertical="center"/>
    </xf>
    <xf numFmtId="165" fontId="53" fillId="6" borderId="1" xfId="0" applyNumberFormat="1" applyFont="1" applyFill="1" applyBorder="1" applyAlignment="1">
      <alignment horizontal="right" vertical="center"/>
    </xf>
    <xf numFmtId="3" fontId="53" fillId="4" borderId="1" xfId="0" applyNumberFormat="1" applyFont="1" applyFill="1" applyBorder="1" applyAlignment="1">
      <alignment horizontal="right" vertical="center"/>
    </xf>
    <xf numFmtId="3" fontId="58" fillId="0" borderId="1" xfId="0" applyNumberFormat="1" applyFont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" fontId="42" fillId="3" borderId="1" xfId="0" applyNumberFormat="1" applyFont="1" applyFill="1" applyBorder="1" applyAlignment="1">
      <alignment horizontal="center" vertical="center"/>
    </xf>
    <xf numFmtId="9" fontId="42" fillId="3" borderId="1" xfId="0" applyNumberFormat="1" applyFont="1" applyFill="1" applyBorder="1" applyAlignment="1">
      <alignment horizontal="center" vertical="center"/>
    </xf>
    <xf numFmtId="0" fontId="58" fillId="0" borderId="23" xfId="55" applyFont="1" applyBorder="1" applyAlignment="1">
      <alignment horizontal="center" vertical="center" wrapText="1"/>
    </xf>
    <xf numFmtId="0" fontId="42" fillId="4" borderId="2" xfId="55" applyFont="1" applyFill="1" applyBorder="1" applyAlignment="1">
      <alignment horizontal="center" vertical="center"/>
    </xf>
    <xf numFmtId="3" fontId="42" fillId="4" borderId="2" xfId="55" applyNumberFormat="1" applyFont="1" applyFill="1" applyBorder="1" applyAlignment="1">
      <alignment horizontal="center" vertical="center"/>
    </xf>
    <xf numFmtId="3" fontId="42" fillId="0" borderId="2" xfId="55" applyNumberFormat="1" applyFont="1" applyBorder="1" applyAlignment="1">
      <alignment horizontal="center" vertical="center"/>
    </xf>
    <xf numFmtId="0" fontId="42" fillId="0" borderId="2" xfId="55" applyFont="1" applyBorder="1" applyAlignment="1">
      <alignment horizontal="center" vertical="center"/>
    </xf>
    <xf numFmtId="0" fontId="58" fillId="0" borderId="2" xfId="55" applyFont="1" applyBorder="1" applyAlignment="1">
      <alignment horizontal="center" vertical="center"/>
    </xf>
    <xf numFmtId="2" fontId="42" fillId="0" borderId="2" xfId="55" applyNumberFormat="1" applyFont="1" applyBorder="1" applyAlignment="1">
      <alignment horizontal="center" vertical="center"/>
    </xf>
    <xf numFmtId="0" fontId="42" fillId="0" borderId="10" xfId="55" applyFont="1" applyBorder="1"/>
    <xf numFmtId="0" fontId="42" fillId="0" borderId="0" xfId="55" applyFont="1"/>
    <xf numFmtId="0" fontId="58" fillId="0" borderId="24" xfId="55" applyFont="1" applyBorder="1" applyAlignment="1">
      <alignment horizontal="center" vertical="center" wrapText="1"/>
    </xf>
    <xf numFmtId="0" fontId="42" fillId="4" borderId="1" xfId="55" applyFont="1" applyFill="1" applyBorder="1" applyAlignment="1">
      <alignment horizontal="center" vertical="center"/>
    </xf>
    <xf numFmtId="3" fontId="42" fillId="4" borderId="1" xfId="55" applyNumberFormat="1" applyFont="1" applyFill="1" applyBorder="1" applyAlignment="1">
      <alignment horizontal="center" vertical="center"/>
    </xf>
    <xf numFmtId="3" fontId="42" fillId="0" borderId="1" xfId="55" applyNumberFormat="1" applyFont="1" applyBorder="1" applyAlignment="1">
      <alignment horizontal="center" vertical="center"/>
    </xf>
    <xf numFmtId="0" fontId="42" fillId="0" borderId="1" xfId="55" applyFont="1" applyBorder="1" applyAlignment="1">
      <alignment horizontal="center" vertical="center"/>
    </xf>
    <xf numFmtId="0" fontId="58" fillId="0" borderId="1" xfId="55" applyFont="1" applyBorder="1" applyAlignment="1">
      <alignment horizontal="center" vertical="center"/>
    </xf>
    <xf numFmtId="2" fontId="42" fillId="0" borderId="1" xfId="55" applyNumberFormat="1" applyFont="1" applyBorder="1" applyAlignment="1">
      <alignment horizontal="center" vertical="center"/>
    </xf>
    <xf numFmtId="0" fontId="42" fillId="0" borderId="18" xfId="55" applyFont="1" applyBorder="1"/>
    <xf numFmtId="0" fontId="42" fillId="0" borderId="16" xfId="55" applyFont="1" applyBorder="1" applyAlignment="1">
      <alignment horizontal="center" vertical="center"/>
    </xf>
    <xf numFmtId="0" fontId="58" fillId="0" borderId="16" xfId="55" applyFont="1" applyBorder="1" applyAlignment="1">
      <alignment horizontal="center" vertical="center"/>
    </xf>
    <xf numFmtId="2" fontId="42" fillId="0" borderId="16" xfId="55" applyNumberFormat="1" applyFont="1" applyBorder="1" applyAlignment="1">
      <alignment horizontal="center" vertical="center"/>
    </xf>
    <xf numFmtId="0" fontId="42" fillId="0" borderId="17" xfId="55" applyFont="1" applyBorder="1"/>
    <xf numFmtId="0" fontId="58" fillId="0" borderId="25" xfId="55" applyFont="1" applyBorder="1" applyAlignment="1">
      <alignment horizontal="center" vertical="center" wrapText="1"/>
    </xf>
    <xf numFmtId="0" fontId="42" fillId="4" borderId="3" xfId="55" applyFont="1" applyFill="1" applyBorder="1" applyAlignment="1">
      <alignment horizontal="center" vertical="center"/>
    </xf>
    <xf numFmtId="0" fontId="42" fillId="4" borderId="3" xfId="55" applyFont="1" applyFill="1" applyBorder="1" applyAlignment="1">
      <alignment horizontal="left" vertical="center"/>
    </xf>
    <xf numFmtId="0" fontId="53" fillId="4" borderId="3" xfId="55" applyFont="1" applyFill="1" applyBorder="1" applyAlignment="1">
      <alignment horizontal="center" vertical="center"/>
    </xf>
    <xf numFmtId="3" fontId="42" fillId="4" borderId="3" xfId="55" applyNumberFormat="1" applyFont="1" applyFill="1" applyBorder="1" applyAlignment="1">
      <alignment horizontal="center" vertical="center"/>
    </xf>
    <xf numFmtId="3" fontId="54" fillId="6" borderId="3" xfId="55" applyNumberFormat="1" applyFont="1" applyFill="1" applyBorder="1" applyAlignment="1">
      <alignment horizontal="center" vertical="center"/>
    </xf>
    <xf numFmtId="165" fontId="42" fillId="0" borderId="3" xfId="55" applyNumberFormat="1" applyFont="1" applyBorder="1" applyAlignment="1">
      <alignment horizontal="center" vertical="center"/>
    </xf>
    <xf numFmtId="165" fontId="53" fillId="0" borderId="3" xfId="55" applyNumberFormat="1" applyFont="1" applyBorder="1" applyAlignment="1">
      <alignment horizontal="center" vertical="center"/>
    </xf>
    <xf numFmtId="165" fontId="42" fillId="4" borderId="3" xfId="55" applyNumberFormat="1" applyFont="1" applyFill="1" applyBorder="1" applyAlignment="1">
      <alignment horizontal="center" vertical="center"/>
    </xf>
    <xf numFmtId="3" fontId="42" fillId="6" borderId="3" xfId="55" applyNumberFormat="1" applyFont="1" applyFill="1" applyBorder="1" applyAlignment="1">
      <alignment horizontal="center" vertical="center"/>
    </xf>
    <xf numFmtId="3" fontId="58" fillId="0" borderId="3" xfId="55" applyNumberFormat="1" applyFont="1" applyBorder="1" applyAlignment="1">
      <alignment horizontal="center" vertical="center"/>
    </xf>
    <xf numFmtId="3" fontId="58" fillId="6" borderId="3" xfId="55" applyNumberFormat="1" applyFont="1" applyFill="1" applyBorder="1" applyAlignment="1">
      <alignment horizontal="center" vertical="center"/>
    </xf>
    <xf numFmtId="2" fontId="58" fillId="6" borderId="3" xfId="55" applyNumberFormat="1" applyFont="1" applyFill="1" applyBorder="1" applyAlignment="1">
      <alignment horizontal="center" vertical="center"/>
    </xf>
    <xf numFmtId="2" fontId="42" fillId="6" borderId="3" xfId="55" applyNumberFormat="1" applyFont="1" applyFill="1" applyBorder="1" applyAlignment="1">
      <alignment horizontal="center" vertical="center"/>
    </xf>
    <xf numFmtId="166" fontId="42" fillId="6" borderId="4" xfId="55" applyNumberFormat="1" applyFont="1" applyFill="1" applyBorder="1" applyAlignment="1">
      <alignment horizontal="center"/>
    </xf>
    <xf numFmtId="0" fontId="16" fillId="5" borderId="66" xfId="0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/>
    </xf>
    <xf numFmtId="0" fontId="16" fillId="5" borderId="17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6" fillId="3" borderId="1" xfId="0" quotePrefix="1" applyFont="1" applyFill="1" applyBorder="1" applyAlignment="1">
      <alignment horizontal="center" vertical="center"/>
    </xf>
    <xf numFmtId="0" fontId="8" fillId="3" borderId="1" xfId="0" quotePrefix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42" fillId="4" borderId="1" xfId="0" applyFont="1" applyFill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9" fillId="5" borderId="1" xfId="55" applyFont="1" applyFill="1" applyBorder="1"/>
    <xf numFmtId="0" fontId="9" fillId="5" borderId="0" xfId="55" applyFont="1" applyFill="1"/>
    <xf numFmtId="3" fontId="6" fillId="6" borderId="1" xfId="55" applyNumberFormat="1" applyFill="1" applyBorder="1" applyAlignment="1">
      <alignment horizontal="center" vertical="center"/>
    </xf>
    <xf numFmtId="166" fontId="42" fillId="3" borderId="1" xfId="0" applyNumberFormat="1" applyFont="1" applyFill="1" applyBorder="1" applyAlignment="1">
      <alignment horizontal="right" vertical="center"/>
    </xf>
    <xf numFmtId="3" fontId="6" fillId="0" borderId="3" xfId="55" applyNumberFormat="1" applyBorder="1" applyAlignment="1">
      <alignment horizontal="center" vertical="center"/>
    </xf>
    <xf numFmtId="3" fontId="42" fillId="0" borderId="3" xfId="55" applyNumberFormat="1" applyFont="1" applyBorder="1" applyAlignment="1">
      <alignment horizontal="center" vertical="center"/>
    </xf>
    <xf numFmtId="0" fontId="33" fillId="12" borderId="0" xfId="0" applyFont="1" applyFill="1"/>
    <xf numFmtId="0" fontId="8" fillId="12" borderId="0" xfId="0" applyFont="1" applyFill="1" applyAlignment="1">
      <alignment horizontal="center" vertical="center"/>
    </xf>
    <xf numFmtId="0" fontId="15" fillId="12" borderId="0" xfId="0" applyFont="1" applyFill="1"/>
    <xf numFmtId="165" fontId="6" fillId="0" borderId="1" xfId="0" quotePrefix="1" applyNumberFormat="1" applyFont="1" applyBorder="1" applyAlignment="1">
      <alignment horizontal="right" vertical="center"/>
    </xf>
    <xf numFmtId="0" fontId="6" fillId="12" borderId="0" xfId="0" applyFont="1" applyFill="1" applyAlignment="1">
      <alignment horizontal="center"/>
    </xf>
    <xf numFmtId="0" fontId="33" fillId="12" borderId="0" xfId="0" applyFont="1" applyFill="1" applyAlignment="1">
      <alignment vertical="center"/>
    </xf>
    <xf numFmtId="0" fontId="6" fillId="12" borderId="0" xfId="0" applyFont="1" applyFill="1" applyAlignment="1">
      <alignment horizontal="center" vertical="center"/>
    </xf>
    <xf numFmtId="0" fontId="6" fillId="12" borderId="0" xfId="0" applyFont="1" applyFill="1"/>
    <xf numFmtId="0" fontId="6" fillId="3" borderId="15" xfId="0" applyFont="1" applyFill="1" applyBorder="1" applyAlignment="1">
      <alignment horizontal="left" vertical="center" wrapText="1"/>
    </xf>
    <xf numFmtId="0" fontId="42" fillId="3" borderId="15" xfId="0" applyFont="1" applyFill="1" applyBorder="1" applyAlignment="1">
      <alignment horizontal="left" vertical="center" wrapText="1"/>
    </xf>
    <xf numFmtId="0" fontId="3" fillId="3" borderId="0" xfId="62" applyFill="1"/>
    <xf numFmtId="0" fontId="42" fillId="0" borderId="1" xfId="0" applyFont="1" applyBorder="1" applyAlignment="1">
      <alignment horizontal="left" vertical="center"/>
    </xf>
    <xf numFmtId="0" fontId="42" fillId="3" borderId="1" xfId="0" applyFont="1" applyFill="1" applyBorder="1" applyAlignment="1">
      <alignment horizontal="right" vertical="center"/>
    </xf>
    <xf numFmtId="0" fontId="42" fillId="3" borderId="1" xfId="0" applyFont="1" applyFill="1" applyBorder="1" applyAlignment="1">
      <alignment horizontal="left" vertical="center"/>
    </xf>
    <xf numFmtId="0" fontId="42" fillId="0" borderId="1" xfId="0" quotePrefix="1" applyFont="1" applyBorder="1" applyAlignment="1">
      <alignment horizontal="right" vertical="center" wrapText="1"/>
    </xf>
    <xf numFmtId="0" fontId="42" fillId="3" borderId="1" xfId="0" applyFont="1" applyFill="1" applyBorder="1" applyAlignment="1">
      <alignment horizontal="right" vertical="center" wrapText="1"/>
    </xf>
    <xf numFmtId="0" fontId="42" fillId="0" borderId="1" xfId="0" applyFont="1" applyBorder="1" applyAlignment="1">
      <alignment horizontal="right" vertical="center"/>
    </xf>
    <xf numFmtId="3" fontId="42" fillId="0" borderId="1" xfId="0" applyNumberFormat="1" applyFont="1" applyBorder="1" applyAlignment="1">
      <alignment horizontal="right" vertical="center"/>
    </xf>
    <xf numFmtId="0" fontId="9" fillId="0" borderId="0" xfId="55" applyFont="1" applyAlignment="1">
      <alignment horizontal="right"/>
    </xf>
    <xf numFmtId="165" fontId="6" fillId="0" borderId="1" xfId="55" applyNumberFormat="1" applyBorder="1" applyAlignment="1">
      <alignment horizontal="center" vertical="center"/>
    </xf>
    <xf numFmtId="9" fontId="6" fillId="3" borderId="1" xfId="0" applyNumberFormat="1" applyFont="1" applyFill="1" applyBorder="1" applyAlignment="1">
      <alignment horizontal="center" vertical="center"/>
    </xf>
    <xf numFmtId="4" fontId="9" fillId="0" borderId="3" xfId="55" applyNumberFormat="1" applyFont="1" applyBorder="1" applyAlignment="1">
      <alignment horizontal="center" vertical="center"/>
    </xf>
    <xf numFmtId="4" fontId="58" fillId="0" borderId="3" xfId="55" applyNumberFormat="1" applyFont="1" applyBorder="1" applyAlignment="1">
      <alignment horizontal="center" vertical="center"/>
    </xf>
    <xf numFmtId="165" fontId="0" fillId="4" borderId="1" xfId="0" applyNumberFormat="1" applyFill="1" applyBorder="1" applyAlignment="1">
      <alignment horizontal="right" vertical="center"/>
    </xf>
    <xf numFmtId="165" fontId="6" fillId="3" borderId="1" xfId="0" applyNumberFormat="1" applyFont="1" applyFill="1" applyBorder="1" applyAlignment="1">
      <alignment horizontal="right" vertical="center"/>
    </xf>
    <xf numFmtId="165" fontId="42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44" fillId="0" borderId="0" xfId="62" applyFont="1" applyAlignment="1">
      <alignment horizontal="center"/>
    </xf>
    <xf numFmtId="0" fontId="31" fillId="0" borderId="29" xfId="62" applyFont="1" applyBorder="1" applyAlignment="1">
      <alignment vertical="center"/>
    </xf>
    <xf numFmtId="0" fontId="31" fillId="0" borderId="8" xfId="62" applyFont="1" applyBorder="1" applyAlignment="1">
      <alignment vertical="center"/>
    </xf>
    <xf numFmtId="0" fontId="6" fillId="0" borderId="14" xfId="62" applyFont="1" applyBorder="1" applyAlignment="1">
      <alignment horizontal="center" vertical="center" wrapText="1"/>
    </xf>
    <xf numFmtId="0" fontId="6" fillId="0" borderId="15" xfId="62" applyFont="1" applyBorder="1" applyAlignment="1">
      <alignment horizontal="center" vertical="center"/>
    </xf>
    <xf numFmtId="0" fontId="31" fillId="0" borderId="29" xfId="62" applyFont="1" applyBorder="1" applyAlignment="1">
      <alignment horizontal="left" vertical="center"/>
    </xf>
    <xf numFmtId="0" fontId="31" fillId="0" borderId="8" xfId="62" applyFont="1" applyBorder="1" applyAlignment="1">
      <alignment horizontal="left" vertical="center"/>
    </xf>
    <xf numFmtId="0" fontId="31" fillId="0" borderId="16" xfId="62" applyFont="1" applyBorder="1" applyAlignment="1">
      <alignment horizontal="center" vertical="center"/>
    </xf>
    <xf numFmtId="0" fontId="31" fillId="0" borderId="14" xfId="62" applyFont="1" applyBorder="1" applyAlignment="1">
      <alignment horizontal="center" vertical="center"/>
    </xf>
    <xf numFmtId="0" fontId="31" fillId="0" borderId="15" xfId="62" applyFont="1" applyBorder="1" applyAlignment="1">
      <alignment horizontal="center" vertical="center"/>
    </xf>
    <xf numFmtId="0" fontId="31" fillId="0" borderId="49" xfId="62" applyFont="1" applyBorder="1" applyAlignment="1">
      <alignment horizontal="center" vertical="center" wrapText="1"/>
    </xf>
    <xf numFmtId="0" fontId="31" fillId="0" borderId="0" xfId="62" applyFont="1" applyAlignment="1">
      <alignment horizontal="center" vertical="center" wrapText="1"/>
    </xf>
    <xf numFmtId="0" fontId="31" fillId="0" borderId="39" xfId="62" applyFont="1" applyBorder="1" applyAlignment="1">
      <alignment horizontal="center" vertical="center" wrapText="1"/>
    </xf>
    <xf numFmtId="0" fontId="31" fillId="0" borderId="26" xfId="62" applyFont="1" applyBorder="1" applyAlignment="1">
      <alignment horizontal="center" vertical="center" wrapText="1"/>
    </xf>
    <xf numFmtId="0" fontId="31" fillId="0" borderId="27" xfId="62" applyFont="1" applyBorder="1" applyAlignment="1">
      <alignment horizontal="center" vertical="center" wrapText="1"/>
    </xf>
    <xf numFmtId="0" fontId="31" fillId="0" borderId="28" xfId="62" applyFont="1" applyBorder="1" applyAlignment="1">
      <alignment horizontal="center" vertical="center" wrapText="1"/>
    </xf>
    <xf numFmtId="0" fontId="31" fillId="0" borderId="49" xfId="62" applyFont="1" applyBorder="1" applyAlignment="1">
      <alignment horizontal="center" vertical="center"/>
    </xf>
    <xf numFmtId="0" fontId="31" fillId="0" borderId="0" xfId="62" applyFont="1" applyAlignment="1">
      <alignment horizontal="center" vertical="center"/>
    </xf>
    <xf numFmtId="0" fontId="31" fillId="0" borderId="39" xfId="62" applyFont="1" applyBorder="1" applyAlignment="1">
      <alignment horizontal="center" vertical="center"/>
    </xf>
    <xf numFmtId="0" fontId="31" fillId="0" borderId="26" xfId="62" applyFont="1" applyBorder="1" applyAlignment="1">
      <alignment horizontal="center" vertical="center"/>
    </xf>
    <xf numFmtId="0" fontId="31" fillId="0" borderId="27" xfId="62" applyFont="1" applyBorder="1" applyAlignment="1">
      <alignment horizontal="center" vertical="center"/>
    </xf>
    <xf numFmtId="0" fontId="31" fillId="0" borderId="28" xfId="62" applyFont="1" applyBorder="1" applyAlignment="1">
      <alignment horizontal="center" vertical="center"/>
    </xf>
    <xf numFmtId="0" fontId="31" fillId="0" borderId="43" xfId="62" applyFont="1" applyBorder="1" applyAlignment="1">
      <alignment horizontal="center" vertical="center"/>
    </xf>
    <xf numFmtId="0" fontId="31" fillId="0" borderId="22" xfId="62" applyFont="1" applyBorder="1" applyAlignment="1">
      <alignment horizontal="center" vertical="center"/>
    </xf>
    <xf numFmtId="0" fontId="31" fillId="0" borderId="38" xfId="62" applyFont="1" applyBorder="1" applyAlignment="1">
      <alignment horizontal="center" vertical="center"/>
    </xf>
    <xf numFmtId="0" fontId="31" fillId="0" borderId="20" xfId="62" applyFont="1" applyBorder="1" applyAlignment="1">
      <alignment horizontal="center" vertical="center"/>
    </xf>
    <xf numFmtId="0" fontId="31" fillId="0" borderId="29" xfId="62" applyFont="1" applyBorder="1" applyAlignment="1">
      <alignment horizontal="center" vertical="center"/>
    </xf>
    <xf numFmtId="0" fontId="31" fillId="0" borderId="8" xfId="62" applyFont="1" applyBorder="1" applyAlignment="1">
      <alignment horizontal="center" vertical="center"/>
    </xf>
    <xf numFmtId="0" fontId="10" fillId="0" borderId="49" xfId="62" applyFont="1" applyBorder="1" applyAlignment="1">
      <alignment horizontal="center" vertical="center" wrapText="1"/>
    </xf>
    <xf numFmtId="0" fontId="10" fillId="0" borderId="0" xfId="62" applyFont="1" applyAlignment="1">
      <alignment horizontal="center" vertical="center"/>
    </xf>
    <xf numFmtId="0" fontId="10" fillId="0" borderId="39" xfId="62" applyFont="1" applyBorder="1" applyAlignment="1">
      <alignment horizontal="center" vertical="center"/>
    </xf>
    <xf numFmtId="0" fontId="10" fillId="0" borderId="26" xfId="62" applyFont="1" applyBorder="1" applyAlignment="1">
      <alignment horizontal="center" vertical="center"/>
    </xf>
    <xf numFmtId="0" fontId="10" fillId="0" borderId="27" xfId="62" applyFont="1" applyBorder="1" applyAlignment="1">
      <alignment horizontal="center" vertical="center"/>
    </xf>
    <xf numFmtId="0" fontId="10" fillId="0" borderId="28" xfId="62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5" borderId="41" xfId="0" applyFont="1" applyFill="1" applyBorder="1" applyAlignment="1">
      <alignment horizontal="center" vertical="center"/>
    </xf>
    <xf numFmtId="0" fontId="16" fillId="5" borderId="38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40" xfId="0" applyFont="1" applyFill="1" applyBorder="1" applyAlignment="1">
      <alignment horizontal="center" vertical="center"/>
    </xf>
    <xf numFmtId="0" fontId="16" fillId="5" borderId="53" xfId="0" applyFont="1" applyFill="1" applyBorder="1" applyAlignment="1">
      <alignment horizontal="center" vertical="center"/>
    </xf>
    <xf numFmtId="0" fontId="16" fillId="5" borderId="25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59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top"/>
    </xf>
    <xf numFmtId="0" fontId="16" fillId="5" borderId="17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34" xfId="0" applyFont="1" applyFill="1" applyBorder="1" applyAlignment="1">
      <alignment horizontal="center" vertical="center"/>
    </xf>
    <xf numFmtId="0" fontId="16" fillId="5" borderId="42" xfId="0" applyFont="1" applyFill="1" applyBorder="1" applyAlignment="1">
      <alignment horizontal="center" vertical="center"/>
    </xf>
    <xf numFmtId="0" fontId="16" fillId="5" borderId="50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32" xfId="0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 wrapText="1"/>
    </xf>
    <xf numFmtId="0" fontId="16" fillId="5" borderId="34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 wrapText="1"/>
    </xf>
    <xf numFmtId="0" fontId="16" fillId="5" borderId="43" xfId="0" applyFont="1" applyFill="1" applyBorder="1" applyAlignment="1">
      <alignment horizontal="center" vertical="center"/>
    </xf>
    <xf numFmtId="0" fontId="16" fillId="5" borderId="45" xfId="0" applyFont="1" applyFill="1" applyBorder="1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top" wrapText="1"/>
    </xf>
    <xf numFmtId="0" fontId="15" fillId="0" borderId="8" xfId="0" applyFont="1" applyBorder="1" applyAlignment="1">
      <alignment horizontal="left" vertical="top"/>
    </xf>
    <xf numFmtId="0" fontId="16" fillId="5" borderId="10" xfId="0" applyFont="1" applyFill="1" applyBorder="1" applyAlignment="1">
      <alignment horizontal="center" vertical="center" wrapText="1"/>
    </xf>
    <xf numFmtId="0" fontId="16" fillId="5" borderId="18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7" fillId="0" borderId="43" xfId="0" applyFont="1" applyBorder="1" applyAlignment="1">
      <alignment horizontal="left" vertical="top"/>
    </xf>
    <xf numFmtId="0" fontId="17" fillId="0" borderId="22" xfId="0" applyFont="1" applyBorder="1" applyAlignment="1">
      <alignment horizontal="left" vertical="top"/>
    </xf>
    <xf numFmtId="0" fontId="17" fillId="0" borderId="38" xfId="0" applyFont="1" applyBorder="1" applyAlignment="1">
      <alignment horizontal="left" vertical="top"/>
    </xf>
    <xf numFmtId="0" fontId="17" fillId="0" borderId="49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39" xfId="0" applyFont="1" applyBorder="1" applyAlignment="1">
      <alignment horizontal="left" vertical="top"/>
    </xf>
    <xf numFmtId="0" fontId="17" fillId="0" borderId="26" xfId="0" applyFont="1" applyBorder="1" applyAlignment="1">
      <alignment horizontal="left" vertical="top"/>
    </xf>
    <xf numFmtId="0" fontId="17" fillId="0" borderId="27" xfId="0" applyFont="1" applyBorder="1" applyAlignment="1">
      <alignment horizontal="left" vertical="top"/>
    </xf>
    <xf numFmtId="0" fontId="17" fillId="0" borderId="2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16" fillId="5" borderId="26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top"/>
    </xf>
    <xf numFmtId="0" fontId="17" fillId="0" borderId="43" xfId="0" applyFont="1" applyBorder="1" applyAlignment="1">
      <alignment horizontal="center" vertical="top"/>
    </xf>
    <xf numFmtId="0" fontId="17" fillId="0" borderId="38" xfId="0" applyFont="1" applyBorder="1" applyAlignment="1">
      <alignment horizontal="center" vertical="top"/>
    </xf>
    <xf numFmtId="0" fontId="17" fillId="0" borderId="49" xfId="0" applyFont="1" applyBorder="1" applyAlignment="1">
      <alignment horizontal="center" vertical="top"/>
    </xf>
    <xf numFmtId="0" fontId="17" fillId="0" borderId="39" xfId="0" applyFont="1" applyBorder="1" applyAlignment="1">
      <alignment horizontal="center" vertical="top"/>
    </xf>
    <xf numFmtId="0" fontId="17" fillId="0" borderId="26" xfId="0" applyFont="1" applyBorder="1" applyAlignment="1">
      <alignment horizontal="center" vertical="top"/>
    </xf>
    <xf numFmtId="0" fontId="17" fillId="0" borderId="28" xfId="0" applyFont="1" applyBorder="1" applyAlignment="1">
      <alignment horizontal="center" vertical="top"/>
    </xf>
    <xf numFmtId="0" fontId="16" fillId="5" borderId="53" xfId="0" applyFont="1" applyFill="1" applyBorder="1" applyAlignment="1">
      <alignment horizontal="center" vertical="center" wrapText="1"/>
    </xf>
    <xf numFmtId="0" fontId="16" fillId="5" borderId="52" xfId="0" applyFont="1" applyFill="1" applyBorder="1" applyAlignment="1">
      <alignment horizontal="center" vertical="center" wrapText="1"/>
    </xf>
    <xf numFmtId="0" fontId="9" fillId="5" borderId="32" xfId="0" applyFont="1" applyFill="1" applyBorder="1" applyAlignment="1">
      <alignment horizontal="center" vertical="center"/>
    </xf>
    <xf numFmtId="0" fontId="16" fillId="5" borderId="33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6" fillId="5" borderId="27" xfId="0" applyFont="1" applyFill="1" applyBorder="1" applyAlignment="1">
      <alignment horizontal="center" vertical="center"/>
    </xf>
    <xf numFmtId="0" fontId="16" fillId="5" borderId="43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4" fillId="5" borderId="46" xfId="0" applyFont="1" applyFill="1" applyBorder="1" applyAlignment="1">
      <alignment horizontal="center" vertical="center"/>
    </xf>
    <xf numFmtId="0" fontId="14" fillId="5" borderId="47" xfId="0" applyFont="1" applyFill="1" applyBorder="1" applyAlignment="1">
      <alignment horizontal="center" vertical="center"/>
    </xf>
    <xf numFmtId="0" fontId="14" fillId="5" borderId="48" xfId="0" applyFont="1" applyFill="1" applyBorder="1" applyAlignment="1">
      <alignment horizontal="center" vertical="center"/>
    </xf>
    <xf numFmtId="0" fontId="16" fillId="5" borderId="54" xfId="0" applyFont="1" applyFill="1" applyBorder="1" applyAlignment="1">
      <alignment horizontal="center" vertical="center" wrapText="1"/>
    </xf>
    <xf numFmtId="0" fontId="16" fillId="5" borderId="55" xfId="0" applyFont="1" applyFill="1" applyBorder="1" applyAlignment="1">
      <alignment horizontal="center" vertical="center" wrapText="1"/>
    </xf>
    <xf numFmtId="0" fontId="16" fillId="5" borderId="56" xfId="0" applyFont="1" applyFill="1" applyBorder="1" applyAlignment="1">
      <alignment horizontal="center" vertical="center" wrapText="1"/>
    </xf>
    <xf numFmtId="0" fontId="17" fillId="0" borderId="49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5" borderId="57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/>
    </xf>
    <xf numFmtId="0" fontId="16" fillId="5" borderId="35" xfId="0" applyFont="1" applyFill="1" applyBorder="1" applyAlignment="1">
      <alignment horizontal="center" vertical="center" wrapText="1"/>
    </xf>
    <xf numFmtId="0" fontId="16" fillId="5" borderId="36" xfId="0" applyFont="1" applyFill="1" applyBorder="1" applyAlignment="1">
      <alignment horizontal="center" vertical="center" wrapText="1"/>
    </xf>
    <xf numFmtId="0" fontId="16" fillId="5" borderId="66" xfId="0" applyFont="1" applyFill="1" applyBorder="1" applyAlignment="1">
      <alignment horizontal="center" vertical="center" wrapText="1"/>
    </xf>
    <xf numFmtId="0" fontId="16" fillId="5" borderId="50" xfId="0" applyFont="1" applyFill="1" applyBorder="1" applyAlignment="1">
      <alignment horizontal="center" vertical="center"/>
    </xf>
    <xf numFmtId="0" fontId="16" fillId="5" borderId="51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horizontal="center" vertical="center"/>
    </xf>
    <xf numFmtId="0" fontId="16" fillId="5" borderId="24" xfId="0" applyFont="1" applyFill="1" applyBorder="1" applyAlignment="1">
      <alignment horizontal="center" vertical="center"/>
    </xf>
    <xf numFmtId="0" fontId="16" fillId="5" borderId="52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 wrapText="1"/>
    </xf>
    <xf numFmtId="0" fontId="16" fillId="5" borderId="30" xfId="0" applyFont="1" applyFill="1" applyBorder="1" applyAlignment="1">
      <alignment horizontal="center" vertical="center" wrapText="1"/>
    </xf>
    <xf numFmtId="0" fontId="16" fillId="5" borderId="31" xfId="0" applyFont="1" applyFill="1" applyBorder="1" applyAlignment="1">
      <alignment horizontal="center" vertical="center" wrapText="1"/>
    </xf>
    <xf numFmtId="0" fontId="15" fillId="0" borderId="22" xfId="0" applyFont="1" applyBorder="1" applyAlignment="1">
      <alignment horizontal="left" vertical="top"/>
    </xf>
    <xf numFmtId="0" fontId="15" fillId="0" borderId="38" xfId="0" applyFont="1" applyBorder="1" applyAlignment="1">
      <alignment horizontal="left" vertical="top"/>
    </xf>
    <xf numFmtId="0" fontId="15" fillId="0" borderId="44" xfId="0" applyFont="1" applyBorder="1" applyAlignment="1">
      <alignment horizontal="left" vertical="top"/>
    </xf>
    <xf numFmtId="0" fontId="15" fillId="0" borderId="7" xfId="0" applyFont="1" applyBorder="1" applyAlignment="1">
      <alignment horizontal="left" vertical="top"/>
    </xf>
    <xf numFmtId="0" fontId="15" fillId="0" borderId="40" xfId="0" applyFont="1" applyBorder="1" applyAlignment="1">
      <alignment horizontal="left" vertical="top"/>
    </xf>
    <xf numFmtId="0" fontId="16" fillId="5" borderId="22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6" fillId="5" borderId="58" xfId="0" applyFont="1" applyFill="1" applyBorder="1" applyAlignment="1">
      <alignment horizontal="center" vertical="center"/>
    </xf>
    <xf numFmtId="0" fontId="16" fillId="5" borderId="49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30" xfId="0" applyFont="1" applyFill="1" applyBorder="1" applyAlignment="1">
      <alignment horizontal="center" vertical="center"/>
    </xf>
    <xf numFmtId="0" fontId="16" fillId="5" borderId="31" xfId="0" applyFont="1" applyFill="1" applyBorder="1" applyAlignment="1">
      <alignment horizontal="center" vertical="center"/>
    </xf>
    <xf numFmtId="0" fontId="16" fillId="5" borderId="38" xfId="0" applyFont="1" applyFill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171" fontId="17" fillId="0" borderId="1" xfId="0" applyNumberFormat="1" applyFont="1" applyBorder="1" applyAlignment="1">
      <alignment horizontal="left" vertical="top" wrapText="1"/>
    </xf>
    <xf numFmtId="0" fontId="16" fillId="5" borderId="18" xfId="0" applyFont="1" applyFill="1" applyBorder="1" applyAlignment="1">
      <alignment horizontal="center" vertical="center"/>
    </xf>
    <xf numFmtId="0" fontId="16" fillId="5" borderId="28" xfId="0" applyFont="1" applyFill="1" applyBorder="1" applyAlignment="1">
      <alignment horizontal="center" vertical="center"/>
    </xf>
    <xf numFmtId="0" fontId="6" fillId="0" borderId="43" xfId="0" applyFont="1" applyBorder="1" applyAlignment="1">
      <alignment horizontal="left" vertical="top" wrapText="1"/>
    </xf>
    <xf numFmtId="0" fontId="15" fillId="0" borderId="38" xfId="0" applyFont="1" applyBorder="1" applyAlignment="1">
      <alignment horizontal="left" vertical="top" wrapText="1"/>
    </xf>
    <xf numFmtId="0" fontId="15" fillId="0" borderId="49" xfId="0" applyFont="1" applyBorder="1" applyAlignment="1">
      <alignment horizontal="left" vertical="top" wrapText="1"/>
    </xf>
    <xf numFmtId="0" fontId="15" fillId="0" borderId="39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left" vertical="top" wrapText="1"/>
    </xf>
    <xf numFmtId="0" fontId="15" fillId="0" borderId="28" xfId="0" applyFont="1" applyBorder="1" applyAlignment="1">
      <alignment horizontal="left" vertical="top" wrapText="1"/>
    </xf>
    <xf numFmtId="0" fontId="15" fillId="0" borderId="26" xfId="0" applyFont="1" applyBorder="1" applyAlignment="1">
      <alignment horizontal="left" vertical="top"/>
    </xf>
    <xf numFmtId="0" fontId="15" fillId="0" borderId="28" xfId="0" applyFont="1" applyBorder="1" applyAlignment="1">
      <alignment horizontal="left" vertical="top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9" fillId="5" borderId="53" xfId="0" applyFont="1" applyFill="1" applyBorder="1" applyAlignment="1">
      <alignment horizontal="center" vertical="center"/>
    </xf>
    <xf numFmtId="3" fontId="6" fillId="0" borderId="1" xfId="57" applyNumberFormat="1" applyBorder="1" applyAlignment="1">
      <alignment horizontal="center" vertical="center" wrapText="1"/>
    </xf>
    <xf numFmtId="0" fontId="6" fillId="0" borderId="1" xfId="57" applyBorder="1" applyAlignment="1">
      <alignment horizontal="center"/>
    </xf>
    <xf numFmtId="0" fontId="9" fillId="5" borderId="43" xfId="57" applyFont="1" applyFill="1" applyBorder="1" applyAlignment="1">
      <alignment horizontal="center" vertical="center" wrapText="1"/>
    </xf>
    <xf numFmtId="0" fontId="9" fillId="5" borderId="38" xfId="57" applyFont="1" applyFill="1" applyBorder="1" applyAlignment="1">
      <alignment horizontal="center" vertical="center" wrapText="1"/>
    </xf>
    <xf numFmtId="0" fontId="9" fillId="5" borderId="26" xfId="57" applyFont="1" applyFill="1" applyBorder="1" applyAlignment="1">
      <alignment horizontal="center" vertical="center" wrapText="1"/>
    </xf>
    <xf numFmtId="0" fontId="9" fillId="5" borderId="28" xfId="57" applyFont="1" applyFill="1" applyBorder="1" applyAlignment="1">
      <alignment horizontal="center" vertical="center" wrapText="1"/>
    </xf>
    <xf numFmtId="0" fontId="9" fillId="13" borderId="1" xfId="57" applyFont="1" applyFill="1" applyBorder="1" applyAlignment="1">
      <alignment horizontal="center" vertical="center" wrapText="1"/>
    </xf>
    <xf numFmtId="0" fontId="9" fillId="13" borderId="15" xfId="57" applyFont="1" applyFill="1" applyBorder="1" applyAlignment="1">
      <alignment horizontal="center" vertical="center" wrapText="1"/>
    </xf>
    <xf numFmtId="0" fontId="9" fillId="13" borderId="15" xfId="57" applyFont="1" applyFill="1" applyBorder="1" applyAlignment="1">
      <alignment horizontal="center" vertical="center"/>
    </xf>
    <xf numFmtId="0" fontId="9" fillId="13" borderId="1" xfId="57" applyFont="1" applyFill="1" applyBorder="1" applyAlignment="1">
      <alignment horizontal="center" vertical="center"/>
    </xf>
    <xf numFmtId="0" fontId="9" fillId="5" borderId="49" xfId="57" applyFont="1" applyFill="1" applyBorder="1" applyAlignment="1">
      <alignment horizontal="center" vertical="center" wrapText="1"/>
    </xf>
    <xf numFmtId="0" fontId="9" fillId="5" borderId="39" xfId="57" applyFont="1" applyFill="1" applyBorder="1" applyAlignment="1">
      <alignment horizontal="center" vertical="center" wrapText="1"/>
    </xf>
    <xf numFmtId="0" fontId="9" fillId="14" borderId="15" xfId="57" applyFont="1" applyFill="1" applyBorder="1" applyAlignment="1">
      <alignment horizontal="center" vertical="center" wrapText="1"/>
    </xf>
    <xf numFmtId="0" fontId="9" fillId="14" borderId="15" xfId="57" applyFont="1" applyFill="1" applyBorder="1" applyAlignment="1">
      <alignment horizontal="center" vertical="center"/>
    </xf>
    <xf numFmtId="0" fontId="9" fillId="14" borderId="1" xfId="57" applyFont="1" applyFill="1" applyBorder="1" applyAlignment="1">
      <alignment horizontal="center" vertical="center"/>
    </xf>
    <xf numFmtId="0" fontId="9" fillId="14" borderId="1" xfId="57" applyFont="1" applyFill="1" applyBorder="1" applyAlignment="1">
      <alignment horizontal="center" vertical="center" wrapText="1"/>
    </xf>
    <xf numFmtId="3" fontId="20" fillId="5" borderId="15" xfId="0" applyNumberFormat="1" applyFont="1" applyFill="1" applyBorder="1" applyAlignment="1">
      <alignment horizontal="center" vertical="center"/>
    </xf>
    <xf numFmtId="3" fontId="20" fillId="5" borderId="1" xfId="0" applyNumberFormat="1" applyFont="1" applyFill="1" applyBorder="1" applyAlignment="1">
      <alignment horizontal="center" vertical="center"/>
    </xf>
    <xf numFmtId="165" fontId="20" fillId="5" borderId="1" xfId="0" applyNumberFormat="1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25" fillId="5" borderId="3" xfId="0" applyFont="1" applyFill="1" applyBorder="1" applyAlignment="1">
      <alignment horizontal="left" vertical="center"/>
    </xf>
    <xf numFmtId="3" fontId="35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3" fontId="20" fillId="5" borderId="1" xfId="0" applyNumberFormat="1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 wrapText="1"/>
    </xf>
    <xf numFmtId="3" fontId="20" fillId="5" borderId="15" xfId="0" applyNumberFormat="1" applyFont="1" applyFill="1" applyBorder="1" applyAlignment="1">
      <alignment horizontal="center" vertical="center" wrapText="1"/>
    </xf>
    <xf numFmtId="3" fontId="20" fillId="5" borderId="20" xfId="0" applyNumberFormat="1" applyFont="1" applyFill="1" applyBorder="1" applyAlignment="1">
      <alignment horizontal="right" vertical="center"/>
    </xf>
    <xf numFmtId="3" fontId="20" fillId="5" borderId="8" xfId="0" applyNumberFormat="1" applyFont="1" applyFill="1" applyBorder="1" applyAlignment="1">
      <alignment horizontal="right" vertical="center"/>
    </xf>
    <xf numFmtId="0" fontId="7" fillId="5" borderId="50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left" vertical="center"/>
    </xf>
    <xf numFmtId="0" fontId="13" fillId="5" borderId="60" xfId="0" applyFont="1" applyFill="1" applyBorder="1" applyAlignment="1">
      <alignment horizontal="center" vertical="center"/>
    </xf>
    <xf numFmtId="0" fontId="13" fillId="5" borderId="61" xfId="0" applyFont="1" applyFill="1" applyBorder="1" applyAlignment="1">
      <alignment horizontal="center" vertical="center"/>
    </xf>
    <xf numFmtId="0" fontId="13" fillId="5" borderId="65" xfId="0" applyFont="1" applyFill="1" applyBorder="1" applyAlignment="1">
      <alignment horizontal="center" vertical="center"/>
    </xf>
    <xf numFmtId="0" fontId="13" fillId="5" borderId="62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4" fontId="20" fillId="5" borderId="15" xfId="0" applyNumberFormat="1" applyFont="1" applyFill="1" applyBorder="1" applyAlignment="1">
      <alignment horizontal="center" vertical="center"/>
    </xf>
    <xf numFmtId="4" fontId="20" fillId="5" borderId="1" xfId="0" applyNumberFormat="1" applyFont="1" applyFill="1" applyBorder="1" applyAlignment="1">
      <alignment horizontal="center" vertical="center"/>
    </xf>
    <xf numFmtId="4" fontId="20" fillId="5" borderId="15" xfId="0" applyNumberFormat="1" applyFont="1" applyFill="1" applyBorder="1" applyAlignment="1">
      <alignment horizontal="center" vertical="center" wrapText="1"/>
    </xf>
    <xf numFmtId="4" fontId="20" fillId="5" borderId="1" xfId="0" applyNumberFormat="1" applyFont="1" applyFill="1" applyBorder="1" applyAlignment="1">
      <alignment horizontal="center" vertical="center" wrapText="1"/>
    </xf>
    <xf numFmtId="165" fontId="20" fillId="5" borderId="15" xfId="0" applyNumberFormat="1" applyFont="1" applyFill="1" applyBorder="1" applyAlignment="1">
      <alignment horizontal="center" vertical="center" wrapText="1"/>
    </xf>
    <xf numFmtId="165" fontId="20" fillId="5" borderId="1" xfId="0" applyNumberFormat="1" applyFont="1" applyFill="1" applyBorder="1" applyAlignment="1">
      <alignment horizontal="center" vertical="center" wrapText="1"/>
    </xf>
    <xf numFmtId="3" fontId="9" fillId="5" borderId="15" xfId="0" applyNumberFormat="1" applyFont="1" applyFill="1" applyBorder="1" applyAlignment="1">
      <alignment horizontal="center" vertical="center" wrapText="1"/>
    </xf>
    <xf numFmtId="0" fontId="18" fillId="5" borderId="61" xfId="0" applyFont="1" applyFill="1" applyBorder="1" applyAlignment="1">
      <alignment horizontal="center" vertical="center"/>
    </xf>
    <xf numFmtId="0" fontId="18" fillId="5" borderId="65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6" fillId="5" borderId="1" xfId="55" applyFill="1" applyBorder="1" applyAlignment="1">
      <alignment horizontal="center" vertical="center" wrapText="1"/>
    </xf>
    <xf numFmtId="4" fontId="6" fillId="5" borderId="1" xfId="55" applyNumberFormat="1" applyFill="1" applyBorder="1" applyAlignment="1">
      <alignment horizontal="center" vertical="center"/>
    </xf>
    <xf numFmtId="4" fontId="6" fillId="5" borderId="1" xfId="55" applyNumberFormat="1" applyFill="1" applyBorder="1" applyAlignment="1">
      <alignment horizontal="center" vertical="center" wrapText="1"/>
    </xf>
    <xf numFmtId="0" fontId="6" fillId="5" borderId="1" xfId="55" applyFill="1" applyBorder="1" applyAlignment="1">
      <alignment horizontal="center" vertical="center"/>
    </xf>
    <xf numFmtId="0" fontId="9" fillId="5" borderId="20" xfId="55" applyFont="1" applyFill="1" applyBorder="1" applyAlignment="1">
      <alignment horizontal="right" vertical="center"/>
    </xf>
    <xf numFmtId="0" fontId="9" fillId="5" borderId="29" xfId="55" applyFont="1" applyFill="1" applyBorder="1" applyAlignment="1">
      <alignment horizontal="right" vertical="center"/>
    </xf>
    <xf numFmtId="0" fontId="9" fillId="5" borderId="8" xfId="55" applyFont="1" applyFill="1" applyBorder="1" applyAlignment="1">
      <alignment horizontal="right" vertical="center"/>
    </xf>
    <xf numFmtId="0" fontId="13" fillId="5" borderId="1" xfId="55" applyFont="1" applyFill="1" applyBorder="1" applyAlignment="1">
      <alignment horizontal="center" vertical="center"/>
    </xf>
    <xf numFmtId="0" fontId="6" fillId="3" borderId="54" xfId="55" applyFill="1" applyBorder="1" applyAlignment="1">
      <alignment horizontal="center" wrapText="1"/>
    </xf>
    <xf numFmtId="0" fontId="6" fillId="3" borderId="63" xfId="55" applyFill="1" applyBorder="1" applyAlignment="1">
      <alignment horizontal="center" wrapText="1"/>
    </xf>
    <xf numFmtId="0" fontId="9" fillId="5" borderId="15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9" fontId="0" fillId="0" borderId="49" xfId="0" applyNumberFormat="1" applyBorder="1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  <xf numFmtId="0" fontId="1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3" fontId="9" fillId="5" borderId="49" xfId="55" applyNumberFormat="1" applyFont="1" applyFill="1" applyBorder="1" applyAlignment="1">
      <alignment horizontal="center" vertical="center" wrapText="1"/>
    </xf>
    <xf numFmtId="3" fontId="9" fillId="5" borderId="0" xfId="55" applyNumberFormat="1" applyFont="1" applyFill="1" applyAlignment="1">
      <alignment horizontal="center" vertical="center" wrapText="1"/>
    </xf>
    <xf numFmtId="3" fontId="9" fillId="5" borderId="1" xfId="55" applyNumberFormat="1" applyFont="1" applyFill="1" applyBorder="1" applyAlignment="1">
      <alignment horizontal="center" vertical="center" wrapText="1"/>
    </xf>
    <xf numFmtId="0" fontId="9" fillId="5" borderId="1" xfId="55" applyFont="1" applyFill="1" applyBorder="1" applyAlignment="1">
      <alignment horizontal="center" vertical="center"/>
    </xf>
    <xf numFmtId="0" fontId="6" fillId="0" borderId="1" xfId="55" applyBorder="1" applyAlignment="1">
      <alignment horizontal="center"/>
    </xf>
    <xf numFmtId="3" fontId="9" fillId="5" borderId="43" xfId="55" applyNumberFormat="1" applyFont="1" applyFill="1" applyBorder="1" applyAlignment="1">
      <alignment horizontal="center" vertical="center" wrapText="1"/>
    </xf>
    <xf numFmtId="3" fontId="9" fillId="5" borderId="38" xfId="55" applyNumberFormat="1" applyFont="1" applyFill="1" applyBorder="1" applyAlignment="1">
      <alignment horizontal="center" vertical="center" wrapText="1"/>
    </xf>
    <xf numFmtId="3" fontId="9" fillId="5" borderId="39" xfId="55" applyNumberFormat="1" applyFont="1" applyFill="1" applyBorder="1" applyAlignment="1">
      <alignment horizontal="center" vertical="center" wrapText="1"/>
    </xf>
    <xf numFmtId="3" fontId="9" fillId="5" borderId="26" xfId="55" applyNumberFormat="1" applyFont="1" applyFill="1" applyBorder="1" applyAlignment="1">
      <alignment horizontal="center" vertical="center" wrapText="1"/>
    </xf>
    <xf numFmtId="3" fontId="9" fillId="5" borderId="28" xfId="55" applyNumberFormat="1" applyFont="1" applyFill="1" applyBorder="1" applyAlignment="1">
      <alignment horizontal="center" vertical="center" wrapText="1"/>
    </xf>
    <xf numFmtId="3" fontId="9" fillId="5" borderId="22" xfId="55" applyNumberFormat="1" applyFont="1" applyFill="1" applyBorder="1" applyAlignment="1">
      <alignment horizontal="center" vertical="center" wrapText="1"/>
    </xf>
    <xf numFmtId="3" fontId="9" fillId="5" borderId="27" xfId="55" applyNumberFormat="1" applyFont="1" applyFill="1" applyBorder="1" applyAlignment="1">
      <alignment horizontal="center" vertical="center" wrapText="1"/>
    </xf>
    <xf numFmtId="3" fontId="9" fillId="5" borderId="16" xfId="55" applyNumberFormat="1" applyFont="1" applyFill="1" applyBorder="1" applyAlignment="1">
      <alignment horizontal="center" vertical="center" wrapText="1"/>
    </xf>
    <xf numFmtId="3" fontId="9" fillId="5" borderId="14" xfId="55" applyNumberFormat="1" applyFont="1" applyFill="1" applyBorder="1" applyAlignment="1">
      <alignment horizontal="center" vertical="center" wrapText="1"/>
    </xf>
    <xf numFmtId="3" fontId="9" fillId="5" borderId="15" xfId="55" applyNumberFormat="1" applyFont="1" applyFill="1" applyBorder="1" applyAlignment="1">
      <alignment horizontal="center" vertical="center" wrapText="1"/>
    </xf>
    <xf numFmtId="0" fontId="9" fillId="5" borderId="1" xfId="55" applyFont="1" applyFill="1" applyBorder="1" applyAlignment="1">
      <alignment horizontal="center" vertical="center" wrapText="1"/>
    </xf>
    <xf numFmtId="0" fontId="9" fillId="5" borderId="4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3" fontId="9" fillId="5" borderId="16" xfId="0" applyNumberFormat="1" applyFont="1" applyFill="1" applyBorder="1" applyAlignment="1">
      <alignment horizontal="center" vertical="center" wrapText="1"/>
    </xf>
    <xf numFmtId="3" fontId="20" fillId="5" borderId="1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" fontId="9" fillId="5" borderId="15" xfId="0" applyNumberFormat="1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13" fillId="5" borderId="46" xfId="0" applyFont="1" applyFill="1" applyBorder="1" applyAlignment="1">
      <alignment horizontal="center" vertical="center"/>
    </xf>
    <xf numFmtId="0" fontId="13" fillId="5" borderId="47" xfId="0" applyFont="1" applyFill="1" applyBorder="1" applyAlignment="1">
      <alignment horizontal="center" vertical="center"/>
    </xf>
    <xf numFmtId="0" fontId="13" fillId="5" borderId="48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7" fillId="0" borderId="32" xfId="0" applyFont="1" applyBorder="1" applyAlignment="1">
      <alignment vertical="center"/>
    </xf>
    <xf numFmtId="0" fontId="7" fillId="0" borderId="33" xfId="0" applyFont="1" applyBorder="1" applyAlignment="1">
      <alignment vertical="center"/>
    </xf>
  </cellXfs>
  <cellStyles count="66">
    <cellStyle name="40% - Colore 2" xfId="63" builtinId="35"/>
    <cellStyle name="40% - Colore 3" xfId="64" builtinId="39"/>
    <cellStyle name="40% - Colore 5" xfId="65" builtinId="47"/>
    <cellStyle name="Data Headings" xfId="1" xr:uid="{00000000-0005-0000-0000-000003000000}"/>
    <cellStyle name="Migliaia" xfId="59" builtinId="3"/>
    <cellStyle name="Migliaia (0)_344COMPU" xfId="2" xr:uid="{00000000-0005-0000-0000-000005000000}"/>
    <cellStyle name="Migliaia 2" xfId="3" xr:uid="{00000000-0005-0000-0000-000006000000}"/>
    <cellStyle name="Migliaia 2 2" xfId="4" xr:uid="{00000000-0005-0000-0000-000007000000}"/>
    <cellStyle name="Migliaia 2 2 2" xfId="5" xr:uid="{00000000-0005-0000-0000-000008000000}"/>
    <cellStyle name="Migliaia 2 3" xfId="6" xr:uid="{00000000-0005-0000-0000-000009000000}"/>
    <cellStyle name="Migliaia 2 4" xfId="7" xr:uid="{00000000-0005-0000-0000-00000A000000}"/>
    <cellStyle name="Migliaia 3" xfId="8" xr:uid="{00000000-0005-0000-0000-00000B000000}"/>
    <cellStyle name="Migliaia 3 2" xfId="9" xr:uid="{00000000-0005-0000-0000-00000C000000}"/>
    <cellStyle name="Migliaia 3 2 2" xfId="10" xr:uid="{00000000-0005-0000-0000-00000D000000}"/>
    <cellStyle name="Migliaia 3 3" xfId="11" xr:uid="{00000000-0005-0000-0000-00000E000000}"/>
    <cellStyle name="Migliaia 4" xfId="12" xr:uid="{00000000-0005-0000-0000-00000F000000}"/>
    <cellStyle name="Migliaia 4 2" xfId="13" xr:uid="{00000000-0005-0000-0000-000010000000}"/>
    <cellStyle name="Migliaia 4 2 2" xfId="14" xr:uid="{00000000-0005-0000-0000-000011000000}"/>
    <cellStyle name="Migliaia 4 3" xfId="15" xr:uid="{00000000-0005-0000-0000-000012000000}"/>
    <cellStyle name="Migliaia 5" xfId="16" xr:uid="{00000000-0005-0000-0000-000013000000}"/>
    <cellStyle name="Migliaia 5 2" xfId="17" xr:uid="{00000000-0005-0000-0000-000014000000}"/>
    <cellStyle name="Migliaia 5 2 2" xfId="18" xr:uid="{00000000-0005-0000-0000-000015000000}"/>
    <cellStyle name="Migliaia 5 3" xfId="19" xr:uid="{00000000-0005-0000-0000-000016000000}"/>
    <cellStyle name="Migliaia 6" xfId="20" xr:uid="{00000000-0005-0000-0000-000017000000}"/>
    <cellStyle name="Migliaia 6 2" xfId="21" xr:uid="{00000000-0005-0000-0000-000018000000}"/>
    <cellStyle name="Migliaia 6 2 2" xfId="22" xr:uid="{00000000-0005-0000-0000-000019000000}"/>
    <cellStyle name="Migliaia 6 3" xfId="23" xr:uid="{00000000-0005-0000-0000-00001A000000}"/>
    <cellStyle name="Migliaia 7" xfId="24" xr:uid="{00000000-0005-0000-0000-00001B000000}"/>
    <cellStyle name="Migliaia 7 2" xfId="25" xr:uid="{00000000-0005-0000-0000-00001C000000}"/>
    <cellStyle name="Migliaia 7 2 2" xfId="26" xr:uid="{00000000-0005-0000-0000-00001D000000}"/>
    <cellStyle name="Migliaia 7 3" xfId="27" xr:uid="{00000000-0005-0000-0000-00001E000000}"/>
    <cellStyle name="Normal 4" xfId="28" xr:uid="{00000000-0005-0000-0000-00001F000000}"/>
    <cellStyle name="Normale" xfId="0" builtinId="0"/>
    <cellStyle name="Normale 2" xfId="29" xr:uid="{00000000-0005-0000-0000-000021000000}"/>
    <cellStyle name="Normale 2 2" xfId="30" xr:uid="{00000000-0005-0000-0000-000022000000}"/>
    <cellStyle name="Normale 2 2 2" xfId="31" xr:uid="{00000000-0005-0000-0000-000023000000}"/>
    <cellStyle name="Normale 2 2 2 2" xfId="32" xr:uid="{00000000-0005-0000-0000-000024000000}"/>
    <cellStyle name="Normale 2 2 3" xfId="33" xr:uid="{00000000-0005-0000-0000-000025000000}"/>
    <cellStyle name="Normale 2 2 3 2" xfId="34" xr:uid="{00000000-0005-0000-0000-000026000000}"/>
    <cellStyle name="Normale 2 2 4" xfId="35" xr:uid="{00000000-0005-0000-0000-000027000000}"/>
    <cellStyle name="Normale 2 3" xfId="36" xr:uid="{00000000-0005-0000-0000-000028000000}"/>
    <cellStyle name="Normale 2 3 2" xfId="37" xr:uid="{00000000-0005-0000-0000-000029000000}"/>
    <cellStyle name="Normale 2 4" xfId="55" xr:uid="{00000000-0005-0000-0000-00002A000000}"/>
    <cellStyle name="Normale 2 5" xfId="58" xr:uid="{00000000-0005-0000-0000-00002B000000}"/>
    <cellStyle name="Normale 3" xfId="38" xr:uid="{00000000-0005-0000-0000-00002C000000}"/>
    <cellStyle name="Normale 3 2" xfId="39" xr:uid="{00000000-0005-0000-0000-00002D000000}"/>
    <cellStyle name="Normale 3 2 2" xfId="40" xr:uid="{00000000-0005-0000-0000-00002E000000}"/>
    <cellStyle name="Normale 3 2 2 2" xfId="41" xr:uid="{00000000-0005-0000-0000-00002F000000}"/>
    <cellStyle name="Normale 3 2 2 2 2" xfId="62" xr:uid="{00000000-0005-0000-0000-000030000000}"/>
    <cellStyle name="Normale 3 2 3" xfId="42" xr:uid="{00000000-0005-0000-0000-000031000000}"/>
    <cellStyle name="Normale 3 3" xfId="43" xr:uid="{00000000-0005-0000-0000-000032000000}"/>
    <cellStyle name="Normale 3 4" xfId="44" xr:uid="{00000000-0005-0000-0000-000033000000}"/>
    <cellStyle name="Normale 3 4 2" xfId="45" xr:uid="{00000000-0005-0000-0000-000034000000}"/>
    <cellStyle name="Normale 3 5" xfId="46" xr:uid="{00000000-0005-0000-0000-000035000000}"/>
    <cellStyle name="Normale 4" xfId="47" xr:uid="{00000000-0005-0000-0000-000036000000}"/>
    <cellStyle name="Normale 4 2" xfId="48" xr:uid="{00000000-0005-0000-0000-000037000000}"/>
    <cellStyle name="Normale 4 2 2" xfId="49" xr:uid="{00000000-0005-0000-0000-000038000000}"/>
    <cellStyle name="Normale 5" xfId="54" xr:uid="{00000000-0005-0000-0000-000039000000}"/>
    <cellStyle name="Normale 6" xfId="56" xr:uid="{00000000-0005-0000-0000-00003A000000}"/>
    <cellStyle name="Normale 6 2" xfId="57" xr:uid="{00000000-0005-0000-0000-00003B000000}"/>
    <cellStyle name="Normale 7" xfId="61" xr:uid="{00000000-0005-0000-0000-00003C000000}"/>
    <cellStyle name="Percentuale" xfId="50" builtinId="5"/>
    <cellStyle name="Percentuale 2" xfId="51" xr:uid="{00000000-0005-0000-0000-00003E000000}"/>
    <cellStyle name="Percentuale 3" xfId="52" xr:uid="{00000000-0005-0000-0000-00003F000000}"/>
    <cellStyle name="Percentuale 4" xfId="60" xr:uid="{00000000-0005-0000-0000-000040000000}"/>
    <cellStyle name="Valuta (0)_344COMPU" xfId="53" xr:uid="{00000000-0005-0000-0000-000041000000}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</xdr:colOff>
          <xdr:row>0</xdr:row>
          <xdr:rowOff>60960</xdr:rowOff>
        </xdr:from>
        <xdr:to>
          <xdr:col>9</xdr:col>
          <xdr:colOff>571500</xdr:colOff>
          <xdr:row>6</xdr:row>
          <xdr:rowOff>7620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0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</xdr:row>
      <xdr:rowOff>21622</xdr:rowOff>
    </xdr:from>
    <xdr:to>
      <xdr:col>10</xdr:col>
      <xdr:colOff>17261</xdr:colOff>
      <xdr:row>47</xdr:row>
      <xdr:rowOff>91992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26644"/>
          <a:ext cx="6075658" cy="8030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</xdr:colOff>
          <xdr:row>0</xdr:row>
          <xdr:rowOff>60960</xdr:rowOff>
        </xdr:from>
        <xdr:to>
          <xdr:col>9</xdr:col>
          <xdr:colOff>571500</xdr:colOff>
          <xdr:row>6</xdr:row>
          <xdr:rowOff>22860</xdr:rowOff>
        </xdr:to>
        <xdr:sp macro="" textlink="">
          <xdr:nvSpPr>
            <xdr:cNvPr id="25601" name="Object 1" hidden="1">
              <a:extLst>
                <a:ext uri="{63B3BB69-23CF-44E3-9099-C40C66FF867C}">
                  <a14:compatExt spid="_x0000_s25601"/>
                </a:ext>
                <a:ext uri="{FF2B5EF4-FFF2-40B4-BE49-F238E27FC236}">
                  <a16:creationId xmlns:a16="http://schemas.microsoft.com/office/drawing/2014/main" id="{00000000-0008-0000-0600-0000016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43</xdr:row>
      <xdr:rowOff>8282</xdr:rowOff>
    </xdr:from>
    <xdr:to>
      <xdr:col>10</xdr:col>
      <xdr:colOff>17261</xdr:colOff>
      <xdr:row>47</xdr:row>
      <xdr:rowOff>91987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13304"/>
          <a:ext cx="6071848" cy="8030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188689</xdr:colOff>
      <xdr:row>0</xdr:row>
      <xdr:rowOff>128049</xdr:rowOff>
    </xdr:from>
    <xdr:to>
      <xdr:col>21</xdr:col>
      <xdr:colOff>75437</xdr:colOff>
      <xdr:row>7</xdr:row>
      <xdr:rowOff>60746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75080" y="128049"/>
          <a:ext cx="4177140" cy="1157860"/>
        </a:xfrm>
        <a:prstGeom prst="rect">
          <a:avLst/>
        </a:prstGeom>
      </xdr:spPr>
    </xdr:pic>
    <xdr:clientData/>
  </xdr:twoCellAnchor>
  <xdr:twoCellAnchor editAs="oneCell">
    <xdr:from>
      <xdr:col>14</xdr:col>
      <xdr:colOff>240196</xdr:colOff>
      <xdr:row>7</xdr:row>
      <xdr:rowOff>0</xdr:rowOff>
    </xdr:from>
    <xdr:to>
      <xdr:col>24</xdr:col>
      <xdr:colOff>243897</xdr:colOff>
      <xdr:row>38</xdr:row>
      <xdr:rowOff>75988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26587" y="1330602"/>
          <a:ext cx="6136642" cy="54698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236220</xdr:colOff>
          <xdr:row>0</xdr:row>
          <xdr:rowOff>228600</xdr:rowOff>
        </xdr:from>
        <xdr:to>
          <xdr:col>3</xdr:col>
          <xdr:colOff>1112520</xdr:colOff>
          <xdr:row>0</xdr:row>
          <xdr:rowOff>228600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D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236220</xdr:colOff>
          <xdr:row>173</xdr:row>
          <xdr:rowOff>144780</xdr:rowOff>
        </xdr:from>
        <xdr:to>
          <xdr:col>3</xdr:col>
          <xdr:colOff>1112520</xdr:colOff>
          <xdr:row>173</xdr:row>
          <xdr:rowOff>144780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D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236220</xdr:colOff>
          <xdr:row>137</xdr:row>
          <xdr:rowOff>144780</xdr:rowOff>
        </xdr:from>
        <xdr:to>
          <xdr:col>3</xdr:col>
          <xdr:colOff>1112520</xdr:colOff>
          <xdr:row>137</xdr:row>
          <xdr:rowOff>144780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D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1.docx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vmlDrawing" Target="../drawings/vmlDrawing3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6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P86"/>
  <sheetViews>
    <sheetView view="pageBreakPreview" topLeftCell="A16" zoomScale="115" zoomScaleNormal="100" zoomScaleSheetLayoutView="115" workbookViewId="0">
      <selection activeCell="F33" sqref="F33:J34"/>
    </sheetView>
  </sheetViews>
  <sheetFormatPr defaultColWidth="9.109375" defaultRowHeight="14.4"/>
  <cols>
    <col min="1" max="1" width="9.33203125" style="269" customWidth="1"/>
    <col min="2" max="2" width="14.109375" style="269" customWidth="1"/>
    <col min="3" max="3" width="5.6640625" style="269" customWidth="1"/>
    <col min="4" max="4" width="6.44140625" style="269" customWidth="1"/>
    <col min="5" max="5" width="9.33203125" style="269" customWidth="1"/>
    <col min="6" max="6" width="6.44140625" style="269" customWidth="1"/>
    <col min="7" max="7" width="11.33203125" style="269" customWidth="1"/>
    <col min="8" max="8" width="6.44140625" style="269" customWidth="1"/>
    <col min="9" max="9" width="10" style="269" customWidth="1"/>
    <col min="10" max="10" width="9.33203125" style="269" customWidth="1"/>
    <col min="11" max="16384" width="9.109375" style="269"/>
  </cols>
  <sheetData>
    <row r="1" spans="1:10" ht="15" customHeight="1">
      <c r="A1" s="268"/>
      <c r="B1" s="268"/>
      <c r="C1" s="268"/>
      <c r="D1" s="268"/>
      <c r="E1" s="268"/>
      <c r="F1" s="268"/>
      <c r="G1" s="268"/>
      <c r="H1" s="268"/>
      <c r="I1" s="268"/>
      <c r="J1" s="268"/>
    </row>
    <row r="2" spans="1:10" ht="15" customHeight="1">
      <c r="A2" s="268"/>
      <c r="B2" s="268"/>
      <c r="C2" s="268"/>
      <c r="D2" s="268"/>
      <c r="E2" s="268"/>
      <c r="F2" s="268"/>
      <c r="G2" s="268"/>
      <c r="H2" s="268"/>
      <c r="I2" s="268"/>
      <c r="J2" s="268"/>
    </row>
    <row r="3" spans="1:10" ht="15" customHeight="1">
      <c r="A3" s="268"/>
      <c r="B3" s="268"/>
      <c r="C3" s="268"/>
      <c r="D3" s="268"/>
      <c r="E3" s="268"/>
      <c r="F3" s="268"/>
      <c r="G3" s="268"/>
      <c r="H3" s="268"/>
      <c r="I3" s="268"/>
      <c r="J3" s="268"/>
    </row>
    <row r="4" spans="1:10" ht="15" customHeight="1">
      <c r="A4" s="268"/>
      <c r="B4" s="268"/>
      <c r="C4" s="268"/>
      <c r="D4" s="268"/>
      <c r="E4" s="268"/>
      <c r="F4" s="268"/>
      <c r="G4" s="268"/>
      <c r="H4" s="268"/>
      <c r="I4" s="268"/>
      <c r="J4" s="268"/>
    </row>
    <row r="5" spans="1:10" ht="15" customHeight="1">
      <c r="A5" s="268"/>
      <c r="B5" s="268"/>
      <c r="C5" s="268"/>
      <c r="D5" s="268"/>
      <c r="E5" s="268"/>
      <c r="F5" s="268"/>
      <c r="G5" s="268"/>
      <c r="H5" s="268"/>
      <c r="I5" s="268"/>
      <c r="J5" s="268"/>
    </row>
    <row r="6" spans="1:10" ht="15" customHeight="1">
      <c r="A6" s="268"/>
      <c r="B6" s="268"/>
      <c r="C6" s="268"/>
      <c r="D6" s="268"/>
      <c r="E6" s="268"/>
      <c r="F6" s="268"/>
      <c r="G6" s="268"/>
      <c r="H6" s="268"/>
      <c r="I6" s="268"/>
      <c r="J6" s="268"/>
    </row>
    <row r="7" spans="1:10" ht="15" customHeight="1">
      <c r="A7" s="268"/>
      <c r="B7" s="268"/>
      <c r="C7" s="268"/>
      <c r="D7" s="268"/>
      <c r="E7" s="268"/>
      <c r="F7" s="268"/>
      <c r="G7" s="268"/>
      <c r="H7" s="268"/>
      <c r="I7" s="268"/>
      <c r="J7" s="268"/>
    </row>
    <row r="8" spans="1:10" ht="15" customHeight="1">
      <c r="A8" s="268"/>
      <c r="B8" s="268"/>
      <c r="C8" s="268"/>
      <c r="D8" s="268"/>
      <c r="E8" s="268"/>
      <c r="F8" s="268"/>
      <c r="G8" s="268"/>
      <c r="H8" s="268"/>
      <c r="I8" s="268"/>
      <c r="J8" s="268"/>
    </row>
    <row r="9" spans="1:10" ht="15" customHeight="1">
      <c r="A9" s="268"/>
      <c r="B9" s="268"/>
      <c r="C9" s="268"/>
      <c r="D9" s="268"/>
      <c r="E9" s="268"/>
      <c r="F9" s="268"/>
      <c r="G9" s="268"/>
      <c r="H9" s="268"/>
      <c r="I9" s="268"/>
      <c r="J9" s="268"/>
    </row>
    <row r="10" spans="1:10" ht="15" customHeight="1">
      <c r="A10" s="268"/>
      <c r="B10" s="268"/>
      <c r="C10" s="268"/>
      <c r="D10" s="268"/>
      <c r="E10" s="268"/>
      <c r="F10" s="268"/>
      <c r="G10" s="268"/>
      <c r="H10" s="268"/>
      <c r="I10" s="268"/>
      <c r="J10" s="268"/>
    </row>
    <row r="11" spans="1:10" ht="15" customHeight="1">
      <c r="A11" s="268"/>
      <c r="B11" s="268"/>
      <c r="C11" s="268"/>
      <c r="D11" s="268"/>
      <c r="E11" s="268"/>
      <c r="F11" s="268"/>
      <c r="G11" s="268"/>
      <c r="H11" s="268"/>
      <c r="I11" s="268"/>
      <c r="J11" s="268"/>
    </row>
    <row r="12" spans="1:10" ht="15" customHeight="1">
      <c r="A12" s="268"/>
      <c r="B12" s="268"/>
      <c r="C12" s="268"/>
      <c r="D12" s="268"/>
      <c r="E12" s="268"/>
      <c r="F12" s="268"/>
      <c r="G12" s="268"/>
      <c r="H12" s="268"/>
      <c r="I12" s="268"/>
      <c r="J12" s="268"/>
    </row>
    <row r="13" spans="1:10" ht="16.5" customHeight="1">
      <c r="A13" s="268"/>
      <c r="B13" s="268"/>
      <c r="C13" s="268"/>
      <c r="D13" s="268"/>
      <c r="E13" s="268"/>
      <c r="F13" s="268"/>
      <c r="G13" s="268"/>
      <c r="H13" s="268"/>
      <c r="I13" s="268"/>
      <c r="J13" s="268"/>
    </row>
    <row r="14" spans="1:10" ht="16.5" customHeight="1">
      <c r="A14" s="268"/>
      <c r="B14" s="268"/>
      <c r="C14" s="268"/>
      <c r="D14" s="268"/>
      <c r="E14" s="268"/>
      <c r="F14" s="268"/>
      <c r="G14" s="268"/>
      <c r="H14" s="268"/>
      <c r="I14" s="268"/>
      <c r="J14" s="268"/>
    </row>
    <row r="15" spans="1:10" ht="16.5" customHeight="1">
      <c r="A15" s="268"/>
      <c r="B15" s="268"/>
      <c r="C15" s="268"/>
      <c r="D15" s="268"/>
      <c r="E15" s="268"/>
      <c r="F15" s="268"/>
      <c r="G15" s="268"/>
      <c r="H15" s="268"/>
      <c r="I15" s="268"/>
      <c r="J15" s="268"/>
    </row>
    <row r="16" spans="1:10" ht="16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spans="1:10" ht="16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spans="1:10" ht="16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spans="1:10" ht="16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spans="1:10" ht="16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spans="1:10" ht="16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spans="1:10" ht="16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spans="1:10" ht="16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spans="1:10" ht="16.5" customHeight="1">
      <c r="A24" s="569" t="s">
        <v>141</v>
      </c>
      <c r="B24" s="570"/>
      <c r="C24" s="570"/>
      <c r="D24" s="570"/>
      <c r="E24" s="571"/>
      <c r="F24" s="569" t="s">
        <v>142</v>
      </c>
      <c r="G24" s="570"/>
      <c r="H24" s="570"/>
      <c r="I24" s="570"/>
      <c r="J24" s="571"/>
    </row>
    <row r="25" spans="1:10" ht="16.5" customHeight="1">
      <c r="A25" s="575" t="s">
        <v>273</v>
      </c>
      <c r="B25" s="576"/>
      <c r="C25" s="576"/>
      <c r="D25" s="576"/>
      <c r="E25" s="577"/>
      <c r="F25" s="575" t="s">
        <v>267</v>
      </c>
      <c r="G25" s="576"/>
      <c r="H25" s="576"/>
      <c r="I25" s="576"/>
      <c r="J25" s="577"/>
    </row>
    <row r="26" spans="1:10" ht="16.5" customHeight="1">
      <c r="A26" s="575"/>
      <c r="B26" s="576"/>
      <c r="C26" s="576"/>
      <c r="D26" s="576"/>
      <c r="E26" s="577"/>
      <c r="F26" s="575"/>
      <c r="G26" s="576"/>
      <c r="H26" s="576"/>
      <c r="I26" s="576"/>
      <c r="J26" s="577"/>
    </row>
    <row r="27" spans="1:10" ht="16.5" customHeight="1">
      <c r="A27" s="575"/>
      <c r="B27" s="576"/>
      <c r="C27" s="576"/>
      <c r="D27" s="576"/>
      <c r="E27" s="577"/>
      <c r="F27" s="575"/>
      <c r="G27" s="576"/>
      <c r="H27" s="576"/>
      <c r="I27" s="576"/>
      <c r="J27" s="577"/>
    </row>
    <row r="28" spans="1:10" ht="15" customHeight="1">
      <c r="A28" s="578"/>
      <c r="B28" s="579"/>
      <c r="C28" s="579"/>
      <c r="D28" s="579"/>
      <c r="E28" s="580"/>
      <c r="F28" s="578"/>
      <c r="G28" s="579"/>
      <c r="H28" s="579"/>
      <c r="I28" s="579"/>
      <c r="J28" s="580"/>
    </row>
    <row r="29" spans="1:10">
      <c r="A29" s="569" t="s">
        <v>143</v>
      </c>
      <c r="B29" s="570"/>
      <c r="C29" s="570"/>
      <c r="D29" s="570"/>
      <c r="E29" s="571"/>
      <c r="F29" s="569" t="s">
        <v>144</v>
      </c>
      <c r="G29" s="570"/>
      <c r="H29" s="570"/>
      <c r="I29" s="570"/>
      <c r="J29" s="571"/>
    </row>
    <row r="30" spans="1:10" ht="15" customHeight="1">
      <c r="A30" s="557" t="s">
        <v>314</v>
      </c>
      <c r="B30" s="558"/>
      <c r="C30" s="558"/>
      <c r="D30" s="558"/>
      <c r="E30" s="559"/>
      <c r="F30" s="563" t="s">
        <v>266</v>
      </c>
      <c r="G30" s="564"/>
      <c r="H30" s="564"/>
      <c r="I30" s="564"/>
      <c r="J30" s="565"/>
    </row>
    <row r="31" spans="1:10">
      <c r="A31" s="557"/>
      <c r="B31" s="558"/>
      <c r="C31" s="558"/>
      <c r="D31" s="558"/>
      <c r="E31" s="559"/>
      <c r="F31" s="566"/>
      <c r="G31" s="567"/>
      <c r="H31" s="567"/>
      <c r="I31" s="567"/>
      <c r="J31" s="568"/>
    </row>
    <row r="32" spans="1:10">
      <c r="A32" s="557"/>
      <c r="B32" s="558"/>
      <c r="C32" s="558"/>
      <c r="D32" s="558"/>
      <c r="E32" s="559"/>
      <c r="F32" s="569" t="s">
        <v>145</v>
      </c>
      <c r="G32" s="570"/>
      <c r="H32" s="570"/>
      <c r="I32" s="570"/>
      <c r="J32" s="571"/>
    </row>
    <row r="33" spans="1:16">
      <c r="A33" s="557"/>
      <c r="B33" s="558"/>
      <c r="C33" s="558"/>
      <c r="D33" s="558"/>
      <c r="E33" s="559"/>
      <c r="F33" s="563" t="s">
        <v>313</v>
      </c>
      <c r="G33" s="564"/>
      <c r="H33" s="564"/>
      <c r="I33" s="564"/>
      <c r="J33" s="565"/>
    </row>
    <row r="34" spans="1:16">
      <c r="A34" s="560"/>
      <c r="B34" s="561"/>
      <c r="C34" s="561"/>
      <c r="D34" s="561"/>
      <c r="E34" s="562"/>
      <c r="F34" s="566"/>
      <c r="G34" s="567"/>
      <c r="H34" s="567"/>
      <c r="I34" s="567"/>
      <c r="J34" s="568"/>
    </row>
    <row r="35" spans="1:16">
      <c r="A35" s="572" t="s">
        <v>146</v>
      </c>
      <c r="B35" s="573"/>
      <c r="C35" s="573"/>
      <c r="D35" s="573"/>
      <c r="E35" s="573"/>
      <c r="F35" s="573"/>
      <c r="G35" s="573"/>
      <c r="H35" s="573"/>
      <c r="I35" s="573"/>
      <c r="J35" s="574"/>
    </row>
    <row r="36" spans="1:16">
      <c r="A36" s="271" t="s">
        <v>238</v>
      </c>
      <c r="B36" s="272" t="s">
        <v>147</v>
      </c>
      <c r="C36" s="548" t="s">
        <v>500</v>
      </c>
      <c r="D36" s="548"/>
      <c r="E36" s="548"/>
      <c r="F36" s="548"/>
      <c r="G36" s="548"/>
      <c r="H36" s="548"/>
      <c r="I36" s="549"/>
      <c r="J36" s="273" t="s">
        <v>188</v>
      </c>
    </row>
    <row r="37" spans="1:16">
      <c r="A37" s="550" t="s">
        <v>148</v>
      </c>
      <c r="B37" s="272" t="s">
        <v>149</v>
      </c>
      <c r="C37" s="552" t="s">
        <v>306</v>
      </c>
      <c r="D37" s="552"/>
      <c r="E37" s="553"/>
      <c r="F37" s="272" t="s">
        <v>150</v>
      </c>
      <c r="G37" s="274">
        <v>45590</v>
      </c>
      <c r="H37" s="272" t="s">
        <v>151</v>
      </c>
      <c r="I37" s="270" t="s">
        <v>304</v>
      </c>
      <c r="J37" s="554">
        <v>3</v>
      </c>
      <c r="P37" s="275"/>
    </row>
    <row r="38" spans="1:16">
      <c r="A38" s="550"/>
      <c r="B38" s="272" t="s">
        <v>274</v>
      </c>
      <c r="C38" s="552" t="s">
        <v>306</v>
      </c>
      <c r="D38" s="552"/>
      <c r="E38" s="553"/>
      <c r="F38" s="272" t="s">
        <v>150</v>
      </c>
      <c r="G38" s="274">
        <v>45590</v>
      </c>
      <c r="H38" s="272" t="s">
        <v>151</v>
      </c>
      <c r="I38" s="270" t="s">
        <v>304</v>
      </c>
      <c r="J38" s="555"/>
      <c r="P38" s="275"/>
    </row>
    <row r="39" spans="1:16">
      <c r="A39" s="551"/>
      <c r="B39" s="272" t="s">
        <v>268</v>
      </c>
      <c r="C39" s="552" t="s">
        <v>307</v>
      </c>
      <c r="D39" s="552"/>
      <c r="E39" s="553"/>
      <c r="F39" s="272" t="s">
        <v>150</v>
      </c>
      <c r="G39" s="274">
        <v>45590</v>
      </c>
      <c r="H39" s="272" t="s">
        <v>151</v>
      </c>
      <c r="I39" s="270" t="s">
        <v>305</v>
      </c>
      <c r="J39" s="556"/>
    </row>
    <row r="40" spans="1:16">
      <c r="A40" s="271" t="s">
        <v>238</v>
      </c>
      <c r="B40" s="272" t="s">
        <v>147</v>
      </c>
      <c r="C40" s="548"/>
      <c r="D40" s="548"/>
      <c r="E40" s="548"/>
      <c r="F40" s="548"/>
      <c r="G40" s="548"/>
      <c r="H40" s="548"/>
      <c r="I40" s="549"/>
      <c r="J40" s="273" t="s">
        <v>188</v>
      </c>
    </row>
    <row r="41" spans="1:16">
      <c r="A41" s="550" t="s">
        <v>152</v>
      </c>
      <c r="B41" s="272" t="s">
        <v>149</v>
      </c>
      <c r="C41" s="552"/>
      <c r="D41" s="552"/>
      <c r="E41" s="553"/>
      <c r="F41" s="272" t="s">
        <v>150</v>
      </c>
      <c r="G41" s="274"/>
      <c r="H41" s="272" t="s">
        <v>151</v>
      </c>
      <c r="I41" s="270"/>
      <c r="J41" s="554"/>
    </row>
    <row r="42" spans="1:16">
      <c r="A42" s="550"/>
      <c r="B42" s="272" t="s">
        <v>274</v>
      </c>
      <c r="C42" s="552"/>
      <c r="D42" s="552"/>
      <c r="E42" s="553"/>
      <c r="F42" s="272" t="s">
        <v>150</v>
      </c>
      <c r="G42" s="274"/>
      <c r="H42" s="272" t="s">
        <v>151</v>
      </c>
      <c r="I42" s="270"/>
      <c r="J42" s="555"/>
      <c r="P42" s="275"/>
    </row>
    <row r="43" spans="1:16">
      <c r="A43" s="551"/>
      <c r="B43" s="272" t="s">
        <v>268</v>
      </c>
      <c r="C43" s="552"/>
      <c r="D43" s="552"/>
      <c r="E43" s="553"/>
      <c r="F43" s="272" t="s">
        <v>150</v>
      </c>
      <c r="G43" s="274"/>
      <c r="H43" s="272" t="s">
        <v>151</v>
      </c>
      <c r="I43" s="270"/>
      <c r="J43" s="556"/>
    </row>
    <row r="44" spans="1:16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spans="1:16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spans="1:16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spans="1:16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spans="1:16">
      <c r="A48" s="547" t="s">
        <v>269</v>
      </c>
      <c r="B48" s="547"/>
      <c r="C48" s="547"/>
      <c r="D48" s="547"/>
      <c r="E48" s="547"/>
      <c r="F48" s="547"/>
      <c r="G48" s="547"/>
      <c r="H48" s="547"/>
      <c r="I48" s="547"/>
      <c r="J48" s="547"/>
    </row>
    <row r="85" spans="9:12">
      <c r="I85" s="530" t="s">
        <v>497</v>
      </c>
      <c r="J85" s="530" t="s">
        <v>498</v>
      </c>
      <c r="K85" s="269" t="s">
        <v>499</v>
      </c>
      <c r="L85" s="530" t="s">
        <v>498</v>
      </c>
    </row>
    <row r="86" spans="9:12">
      <c r="I86" s="530" t="s">
        <v>497</v>
      </c>
      <c r="J86" s="530" t="s">
        <v>498</v>
      </c>
      <c r="K86" s="269" t="s">
        <v>499</v>
      </c>
      <c r="L86" s="530" t="s">
        <v>498</v>
      </c>
    </row>
  </sheetData>
  <mergeCells count="24">
    <mergeCell ref="A24:E24"/>
    <mergeCell ref="F24:J24"/>
    <mergeCell ref="A25:E28"/>
    <mergeCell ref="F25:J28"/>
    <mergeCell ref="A29:E29"/>
    <mergeCell ref="F29:J29"/>
    <mergeCell ref="A30:E34"/>
    <mergeCell ref="F30:J31"/>
    <mergeCell ref="F32:J32"/>
    <mergeCell ref="F33:J34"/>
    <mergeCell ref="A35:J35"/>
    <mergeCell ref="A48:J48"/>
    <mergeCell ref="C36:I36"/>
    <mergeCell ref="A37:A39"/>
    <mergeCell ref="C37:E37"/>
    <mergeCell ref="J37:J39"/>
    <mergeCell ref="C39:E39"/>
    <mergeCell ref="C40:I40"/>
    <mergeCell ref="A41:A43"/>
    <mergeCell ref="C41:E41"/>
    <mergeCell ref="J41:J43"/>
    <mergeCell ref="C42:E42"/>
    <mergeCell ref="C43:E43"/>
    <mergeCell ref="C38:E38"/>
  </mergeCells>
  <pageMargins left="0.7" right="0.7" top="0.75" bottom="0.75" header="0.3" footer="0.3"/>
  <pageSetup paperSize="9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24577" r:id="rId4">
          <objectPr defaultSize="0" autoPict="0" r:id="rId5">
            <anchor moveWithCells="1">
              <from>
                <xdr:col>0</xdr:col>
                <xdr:colOff>30480</xdr:colOff>
                <xdr:row>0</xdr:row>
                <xdr:rowOff>60960</xdr:rowOff>
              </from>
              <to>
                <xdr:col>9</xdr:col>
                <xdr:colOff>571500</xdr:colOff>
                <xdr:row>6</xdr:row>
                <xdr:rowOff>7620</xdr:rowOff>
              </to>
            </anchor>
          </objectPr>
        </oleObject>
      </mc:Choice>
      <mc:Fallback>
        <oleObject progId="Word.Document.8" shapeId="2457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110"/>
  <sheetViews>
    <sheetView tabSelected="1" view="pageBreakPreview" zoomScaleNormal="100" zoomScaleSheetLayoutView="100" workbookViewId="0">
      <pane xSplit="4" ySplit="7" topLeftCell="E56" activePane="bottomRight" state="frozenSplit"/>
      <selection activeCell="F32" sqref="F32:J32"/>
      <selection pane="topRight" activeCell="F32" sqref="F32:J32"/>
      <selection pane="bottomLeft" activeCell="F32" sqref="F32:J32"/>
      <selection pane="bottomRight" activeCell="H57" sqref="H57"/>
    </sheetView>
  </sheetViews>
  <sheetFormatPr defaultColWidth="9.109375" defaultRowHeight="13.2"/>
  <cols>
    <col min="1" max="1" width="12.5546875" style="39" customWidth="1"/>
    <col min="2" max="2" width="23.109375" style="39" bestFit="1" customWidth="1"/>
    <col min="3" max="3" width="15.5546875" style="39" bestFit="1" customWidth="1"/>
    <col min="4" max="4" width="35.44140625" style="39" bestFit="1" customWidth="1"/>
    <col min="5" max="5" width="11.44140625" style="39" bestFit="1" customWidth="1"/>
    <col min="6" max="6" width="15.5546875" style="39" bestFit="1" customWidth="1"/>
    <col min="7" max="7" width="13.109375" style="39" bestFit="1" customWidth="1"/>
    <col min="8" max="8" width="16.109375" style="39" bestFit="1" customWidth="1"/>
    <col min="9" max="9" width="20" style="39" bestFit="1" customWidth="1"/>
    <col min="10" max="10" width="12" style="39" bestFit="1" customWidth="1"/>
    <col min="11" max="11" width="19.88671875" style="39" bestFit="1" customWidth="1"/>
    <col min="12" max="12" width="13.6640625" style="39" customWidth="1"/>
    <col min="13" max="13" width="7.5546875" style="39" bestFit="1" customWidth="1"/>
    <col min="14" max="14" width="11.6640625" style="39" bestFit="1" customWidth="1"/>
    <col min="15" max="15" width="5.6640625" style="39" bestFit="1" customWidth="1"/>
    <col min="16" max="16" width="6.109375" style="39" bestFit="1" customWidth="1"/>
    <col min="17" max="17" width="4.6640625" style="39" bestFit="1" customWidth="1"/>
    <col min="18" max="18" width="6" style="39" customWidth="1"/>
    <col min="19" max="19" width="6.88671875" style="39" bestFit="1" customWidth="1"/>
    <col min="20" max="20" width="8" style="39" bestFit="1" customWidth="1"/>
    <col min="21" max="21" width="7.88671875" style="39" bestFit="1" customWidth="1"/>
    <col min="22" max="22" width="12.88671875" style="39" customWidth="1"/>
    <col min="23" max="23" width="3.109375" style="39" bestFit="1" customWidth="1"/>
    <col min="24" max="24" width="9.109375" style="39"/>
    <col min="25" max="25" width="8.109375" style="39" bestFit="1" customWidth="1"/>
    <col min="26" max="26" width="9.5546875" style="39" bestFit="1" customWidth="1"/>
    <col min="27" max="27" width="9.6640625" style="39" bestFit="1" customWidth="1"/>
    <col min="28" max="28" width="11.6640625" style="39" bestFit="1" customWidth="1"/>
    <col min="29" max="16384" width="9.109375" style="39"/>
  </cols>
  <sheetData>
    <row r="1" spans="1:32" ht="25.2" thickBot="1">
      <c r="A1" s="647" t="s">
        <v>83</v>
      </c>
      <c r="B1" s="648"/>
      <c r="C1" s="648"/>
      <c r="D1" s="648"/>
      <c r="E1" s="648"/>
      <c r="F1" s="648"/>
      <c r="G1" s="648"/>
      <c r="H1" s="648"/>
      <c r="I1" s="648"/>
      <c r="J1" s="648"/>
      <c r="K1" s="648"/>
      <c r="L1" s="648"/>
      <c r="M1" s="648"/>
      <c r="N1" s="648"/>
      <c r="O1" s="648"/>
      <c r="P1" s="648"/>
      <c r="Q1" s="648"/>
      <c r="R1" s="648"/>
      <c r="S1" s="648"/>
      <c r="T1" s="648"/>
      <c r="U1" s="648"/>
      <c r="V1" s="648"/>
      <c r="W1" s="648"/>
      <c r="X1" s="648"/>
      <c r="Y1" s="648"/>
      <c r="Z1" s="648"/>
      <c r="AA1" s="648"/>
      <c r="AB1" s="649"/>
      <c r="AC1" s="10" t="s">
        <v>155</v>
      </c>
      <c r="AD1" s="10" t="s">
        <v>156</v>
      </c>
    </row>
    <row r="2" spans="1:32" ht="25.2" thickBo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C2" s="132">
        <f>_xlfn.CEILING.MATH('Carichi t. LINK(NO PLOT)'!AA4,0.5)</f>
        <v>4.5</v>
      </c>
      <c r="AD2" s="132">
        <f>_xlfn.CEILING.MATH('Carichi t. LINK(NO PLOT)'!AC8,0.5)</f>
        <v>10.5</v>
      </c>
      <c r="AE2" s="120" t="s">
        <v>326</v>
      </c>
    </row>
    <row r="3" spans="1:32" ht="12.75" customHeight="1">
      <c r="A3" s="593" t="s">
        <v>84</v>
      </c>
      <c r="B3" s="594"/>
      <c r="C3" s="593" t="s">
        <v>29</v>
      </c>
      <c r="D3" s="594"/>
      <c r="E3" s="599" t="s">
        <v>118</v>
      </c>
      <c r="F3" s="600"/>
      <c r="G3" s="616" t="s">
        <v>86</v>
      </c>
      <c r="H3" s="603" t="s">
        <v>128</v>
      </c>
      <c r="I3" s="605"/>
      <c r="J3" s="666" t="s">
        <v>0</v>
      </c>
      <c r="K3" s="655" t="s">
        <v>9</v>
      </c>
      <c r="L3" s="679" t="s">
        <v>1</v>
      </c>
      <c r="M3" s="603" t="s">
        <v>91</v>
      </c>
      <c r="N3" s="604"/>
      <c r="O3" s="604"/>
      <c r="P3" s="605"/>
      <c r="Q3" s="603" t="s">
        <v>92</v>
      </c>
      <c r="R3" s="604"/>
      <c r="S3" s="604"/>
      <c r="T3" s="604"/>
      <c r="U3" s="669" t="s">
        <v>96</v>
      </c>
      <c r="V3" s="670"/>
      <c r="W3" s="670"/>
      <c r="X3" s="670"/>
      <c r="Y3" s="670"/>
      <c r="Z3" s="670"/>
      <c r="AA3" s="670"/>
      <c r="AB3" s="671"/>
      <c r="AC3" s="132">
        <f>_xlfn.CEILING.MATH('Carichi t. LBW(NO PLOT)'!AA5,0.5)</f>
        <v>3</v>
      </c>
      <c r="AD3" s="132">
        <f>_xlfn.CEILING.MATH('Carichi t. LBW(NO PLOT)'!AC16,0.5)</f>
        <v>6.5</v>
      </c>
      <c r="AE3" s="120" t="s">
        <v>346</v>
      </c>
    </row>
    <row r="4" spans="1:32">
      <c r="A4" s="595"/>
      <c r="B4" s="596"/>
      <c r="C4" s="595"/>
      <c r="D4" s="596"/>
      <c r="E4" s="601"/>
      <c r="F4" s="602"/>
      <c r="G4" s="617"/>
      <c r="H4" s="658"/>
      <c r="I4" s="659"/>
      <c r="J4" s="667"/>
      <c r="K4" s="656"/>
      <c r="L4" s="680"/>
      <c r="M4" s="606"/>
      <c r="N4" s="607"/>
      <c r="O4" s="607"/>
      <c r="P4" s="608"/>
      <c r="Q4" s="606"/>
      <c r="R4" s="607"/>
      <c r="S4" s="607"/>
      <c r="T4" s="607"/>
      <c r="U4" s="601" t="s">
        <v>98</v>
      </c>
      <c r="V4" s="602" t="s">
        <v>97</v>
      </c>
      <c r="W4" s="602" t="s">
        <v>10</v>
      </c>
      <c r="X4" s="602"/>
      <c r="Y4" s="602"/>
      <c r="Z4" s="602" t="s">
        <v>24</v>
      </c>
      <c r="AA4" s="602" t="s">
        <v>102</v>
      </c>
      <c r="AB4" s="617" t="s">
        <v>25</v>
      </c>
      <c r="AC4" s="132">
        <f>_xlfn.CEILING.MATH('Carichi t. LBW(NO PLOT)'!AA4,0.5)</f>
        <v>1</v>
      </c>
      <c r="AD4" s="132">
        <f>_xlfn.CEILING.MATH('Carichi t. LBW(NO PLOT)'!AC15,0.5)</f>
        <v>6</v>
      </c>
      <c r="AE4" s="120" t="s">
        <v>347</v>
      </c>
    </row>
    <row r="5" spans="1:32">
      <c r="A5" s="595"/>
      <c r="B5" s="596"/>
      <c r="C5" s="595"/>
      <c r="D5" s="596"/>
      <c r="E5" s="601"/>
      <c r="F5" s="602"/>
      <c r="G5" s="617"/>
      <c r="H5" s="658"/>
      <c r="I5" s="659"/>
      <c r="J5" s="668"/>
      <c r="K5" s="657"/>
      <c r="L5" s="629"/>
      <c r="M5" s="41" t="s">
        <v>87</v>
      </c>
      <c r="N5" s="42" t="s">
        <v>88</v>
      </c>
      <c r="O5" s="42" t="s">
        <v>89</v>
      </c>
      <c r="P5" s="43" t="s">
        <v>88</v>
      </c>
      <c r="Q5" s="41" t="s">
        <v>87</v>
      </c>
      <c r="R5" s="42" t="s">
        <v>88</v>
      </c>
      <c r="S5" s="42" t="s">
        <v>89</v>
      </c>
      <c r="T5" s="44" t="s">
        <v>88</v>
      </c>
      <c r="U5" s="601"/>
      <c r="V5" s="602"/>
      <c r="W5" s="581" t="s">
        <v>23</v>
      </c>
      <c r="X5" s="42" t="s">
        <v>99</v>
      </c>
      <c r="Y5" s="42" t="s">
        <v>101</v>
      </c>
      <c r="Z5" s="602"/>
      <c r="AA5" s="602"/>
      <c r="AB5" s="617"/>
      <c r="AC5" s="132"/>
      <c r="AD5" s="132"/>
      <c r="AE5" s="120"/>
    </row>
    <row r="6" spans="1:32">
      <c r="A6" s="597"/>
      <c r="B6" s="598"/>
      <c r="C6" s="597"/>
      <c r="D6" s="598"/>
      <c r="E6" s="601"/>
      <c r="F6" s="602"/>
      <c r="G6" s="617"/>
      <c r="H6" s="606"/>
      <c r="I6" s="608"/>
      <c r="J6" s="586" t="s">
        <v>38</v>
      </c>
      <c r="K6" s="588" t="s">
        <v>5</v>
      </c>
      <c r="L6" s="591" t="s">
        <v>39</v>
      </c>
      <c r="M6" s="582" t="s">
        <v>3</v>
      </c>
      <c r="N6" s="583"/>
      <c r="O6" s="609" t="s">
        <v>90</v>
      </c>
      <c r="P6" s="610"/>
      <c r="Q6" s="582" t="s">
        <v>3</v>
      </c>
      <c r="R6" s="583"/>
      <c r="S6" s="609" t="s">
        <v>90</v>
      </c>
      <c r="T6" s="677"/>
      <c r="U6" s="41" t="s">
        <v>40</v>
      </c>
      <c r="V6" s="602"/>
      <c r="W6" s="581"/>
      <c r="X6" s="42" t="s">
        <v>100</v>
      </c>
      <c r="Y6" s="42" t="s">
        <v>100</v>
      </c>
      <c r="Z6" s="602"/>
      <c r="AA6" s="602"/>
      <c r="AB6" s="617"/>
      <c r="AC6" s="132"/>
      <c r="AD6" s="132"/>
      <c r="AE6" s="120"/>
    </row>
    <row r="7" spans="1:32" ht="13.8" thickBot="1">
      <c r="A7" s="99" t="s">
        <v>85</v>
      </c>
      <c r="B7" s="97" t="s">
        <v>121</v>
      </c>
      <c r="C7" s="99" t="s">
        <v>85</v>
      </c>
      <c r="D7" s="97" t="s">
        <v>8</v>
      </c>
      <c r="E7" s="45" t="s">
        <v>127</v>
      </c>
      <c r="F7" s="98" t="s">
        <v>126</v>
      </c>
      <c r="G7" s="618"/>
      <c r="H7" s="103" t="s">
        <v>271</v>
      </c>
      <c r="I7" s="276" t="s">
        <v>272</v>
      </c>
      <c r="J7" s="587"/>
      <c r="K7" s="589"/>
      <c r="L7" s="592"/>
      <c r="M7" s="584"/>
      <c r="N7" s="585"/>
      <c r="O7" s="611"/>
      <c r="P7" s="612"/>
      <c r="Q7" s="584"/>
      <c r="R7" s="585"/>
      <c r="S7" s="611"/>
      <c r="T7" s="678"/>
      <c r="U7" s="99">
        <v>20</v>
      </c>
      <c r="V7" s="100" t="s">
        <v>37</v>
      </c>
      <c r="W7" s="645"/>
      <c r="X7" s="100">
        <v>100</v>
      </c>
      <c r="Y7" s="100">
        <v>75</v>
      </c>
      <c r="Z7" s="100" t="s">
        <v>37</v>
      </c>
      <c r="AA7" s="100" t="s">
        <v>37</v>
      </c>
      <c r="AB7" s="97" t="s">
        <v>37</v>
      </c>
      <c r="AC7" s="132">
        <f>_xlfn.CEILING.MATH('Carichi t. LBW(NO PLOT)'!AA6,0.5)</f>
        <v>11.5</v>
      </c>
      <c r="AD7" s="132">
        <f>_xlfn.CEILING.MATH('Carichi t. LBW(NO PLOT)'!AC17,0.5)</f>
        <v>16.5</v>
      </c>
      <c r="AE7" s="120" t="s">
        <v>355</v>
      </c>
    </row>
    <row r="8" spans="1:32" ht="13.8">
      <c r="A8" s="322" t="s">
        <v>319</v>
      </c>
      <c r="B8" s="323" t="s">
        <v>458</v>
      </c>
      <c r="C8" s="324" t="s">
        <v>434</v>
      </c>
      <c r="D8" s="325" t="s">
        <v>435</v>
      </c>
      <c r="E8" s="122"/>
      <c r="F8" s="324" t="s">
        <v>153</v>
      </c>
      <c r="G8" s="324" t="s">
        <v>154</v>
      </c>
      <c r="H8" s="328">
        <v>6</v>
      </c>
      <c r="I8" s="328">
        <v>6</v>
      </c>
      <c r="J8" s="326">
        <v>238.5</v>
      </c>
      <c r="K8" s="326">
        <v>2.7</v>
      </c>
      <c r="L8" s="127">
        <f t="shared" ref="L8" si="0">J8*K8</f>
        <v>643.95000000000005</v>
      </c>
      <c r="M8" s="327">
        <v>22</v>
      </c>
      <c r="N8" s="327" t="s">
        <v>317</v>
      </c>
      <c r="O8" s="327" t="s">
        <v>376</v>
      </c>
      <c r="P8" s="327" t="s">
        <v>276</v>
      </c>
      <c r="Q8" s="327">
        <v>22</v>
      </c>
      <c r="R8" s="327" t="s">
        <v>318</v>
      </c>
      <c r="S8" s="327" t="s">
        <v>376</v>
      </c>
      <c r="T8" s="327" t="s">
        <v>276</v>
      </c>
      <c r="U8" s="170">
        <f t="shared" ref="U8" si="1">J8*$U$7</f>
        <v>4770</v>
      </c>
      <c r="V8" s="277">
        <f>'CarichiApparecchiature(NO PLOT)'!J4</f>
        <v>1799.9999999999998</v>
      </c>
      <c r="W8" s="324">
        <v>0</v>
      </c>
      <c r="X8" s="416">
        <f t="shared" ref="X8" si="2">W8*$X$7</f>
        <v>0</v>
      </c>
      <c r="Y8" s="416">
        <f t="shared" ref="Y8" si="3">W8*$Y$7</f>
        <v>0</v>
      </c>
      <c r="Z8" s="128">
        <f>L8*$AC$2</f>
        <v>2897.7750000000001</v>
      </c>
      <c r="AA8" s="128">
        <f>U8+V8+X8+Z8</f>
        <v>9467.7749999999996</v>
      </c>
      <c r="AB8" s="128">
        <f>L8*$AD$2</f>
        <v>6761.4750000000004</v>
      </c>
      <c r="AC8" s="132">
        <f>_xlfn.CEILING.MATH('Carichi t. LBW(NO PLOT)'!AA7,0.5)</f>
        <v>13.5</v>
      </c>
      <c r="AD8" s="132">
        <f>_xlfn.CEILING.MATH('Carichi t. LBW(NO PLOT)'!AC18,0.5)</f>
        <v>14</v>
      </c>
      <c r="AE8" s="120" t="s">
        <v>357</v>
      </c>
    </row>
    <row r="9" spans="1:32">
      <c r="A9" s="124"/>
      <c r="B9" s="125"/>
      <c r="C9" s="122"/>
      <c r="D9" s="171"/>
      <c r="E9" s="122"/>
      <c r="F9" s="122"/>
      <c r="G9" s="122"/>
      <c r="H9" s="130"/>
      <c r="I9" s="130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303"/>
      <c r="V9" s="310"/>
      <c r="W9" s="122"/>
      <c r="X9" s="417"/>
      <c r="Y9" s="417"/>
      <c r="Z9" s="129"/>
      <c r="AA9" s="129"/>
      <c r="AB9" s="129"/>
      <c r="AC9" s="132">
        <f>_xlfn.CEILING.MATH('Carichi t. LBW(NO PLOT)'!AA8,0.5)</f>
        <v>8.5</v>
      </c>
      <c r="AD9" s="132">
        <f>_xlfn.CEILING.MATH('Carichi t. LBW(NO PLOT)'!AC19,0.5)</f>
        <v>12.5</v>
      </c>
      <c r="AE9" s="120" t="s">
        <v>356</v>
      </c>
    </row>
    <row r="10" spans="1:32" ht="13.8">
      <c r="A10" s="322" t="s">
        <v>338</v>
      </c>
      <c r="B10" s="323" t="s">
        <v>348</v>
      </c>
      <c r="C10" s="324" t="s">
        <v>454</v>
      </c>
      <c r="D10" s="325" t="s">
        <v>431</v>
      </c>
      <c r="E10" s="122"/>
      <c r="F10" s="324" t="s">
        <v>153</v>
      </c>
      <c r="G10" s="324" t="s">
        <v>154</v>
      </c>
      <c r="H10" s="328">
        <v>3</v>
      </c>
      <c r="I10" s="328">
        <v>3</v>
      </c>
      <c r="J10" s="326">
        <v>18.510000000000002</v>
      </c>
      <c r="K10" s="326">
        <v>5.2</v>
      </c>
      <c r="L10" s="127">
        <f t="shared" ref="L10:L23" si="4">J10*K10</f>
        <v>96.25200000000001</v>
      </c>
      <c r="M10" s="327">
        <v>22</v>
      </c>
      <c r="N10" s="327" t="s">
        <v>282</v>
      </c>
      <c r="O10" s="327" t="s">
        <v>376</v>
      </c>
      <c r="P10" s="327" t="s">
        <v>276</v>
      </c>
      <c r="Q10" s="327">
        <v>22</v>
      </c>
      <c r="R10" s="327" t="s">
        <v>282</v>
      </c>
      <c r="S10" s="327" t="s">
        <v>376</v>
      </c>
      <c r="T10" s="327" t="s">
        <v>276</v>
      </c>
      <c r="U10" s="170">
        <f t="shared" ref="U10:U23" si="5">J10*$U$7</f>
        <v>370.20000000000005</v>
      </c>
      <c r="V10" s="277">
        <f>'CarichiApparecchiature(NO PLOT)'!J7</f>
        <v>0</v>
      </c>
      <c r="W10" s="324">
        <v>0</v>
      </c>
      <c r="X10" s="416">
        <f t="shared" ref="X10:X23" si="6">W10*$X$7</f>
        <v>0</v>
      </c>
      <c r="Y10" s="416">
        <f t="shared" ref="Y10:Y23" si="7">W10*$Y$7</f>
        <v>0</v>
      </c>
      <c r="Z10" s="128">
        <f>L10*$AC$4</f>
        <v>96.25200000000001</v>
      </c>
      <c r="AA10" s="128">
        <f t="shared" ref="AA10:AA23" si="8">U10+V10+X10+Z10</f>
        <v>466.45200000000006</v>
      </c>
      <c r="AB10" s="128">
        <f>L10*$AD$4</f>
        <v>577.51200000000006</v>
      </c>
      <c r="AC10" s="132">
        <f>_xlfn.CEILING.MATH('Carichi t. LBW(NO PLOT)'!AA11,0.5)</f>
        <v>4</v>
      </c>
      <c r="AD10" s="132">
        <f>_xlfn.CEILING.MATH('Carichi t. LBW(NO PLOT)'!AC22,0.5)</f>
        <v>5.5</v>
      </c>
      <c r="AE10" s="120" t="s">
        <v>373</v>
      </c>
    </row>
    <row r="11" spans="1:32" ht="13.8">
      <c r="A11" s="322" t="s">
        <v>338</v>
      </c>
      <c r="B11" s="323" t="s">
        <v>348</v>
      </c>
      <c r="C11" s="324" t="s">
        <v>455</v>
      </c>
      <c r="D11" s="322" t="s">
        <v>432</v>
      </c>
      <c r="E11" s="122"/>
      <c r="F11" s="324" t="s">
        <v>153</v>
      </c>
      <c r="G11" s="324" t="s">
        <v>154</v>
      </c>
      <c r="H11" s="328">
        <v>3</v>
      </c>
      <c r="I11" s="328">
        <v>3</v>
      </c>
      <c r="J11" s="326">
        <v>366.14</v>
      </c>
      <c r="K11" s="326">
        <v>5.2</v>
      </c>
      <c r="L11" s="128">
        <f>J11*K11</f>
        <v>1903.9279999999999</v>
      </c>
      <c r="M11" s="327">
        <v>22</v>
      </c>
      <c r="N11" s="327" t="s">
        <v>317</v>
      </c>
      <c r="O11" s="327" t="s">
        <v>376</v>
      </c>
      <c r="P11" s="327" t="s">
        <v>276</v>
      </c>
      <c r="Q11" s="327">
        <v>22</v>
      </c>
      <c r="R11" s="327" t="s">
        <v>318</v>
      </c>
      <c r="S11" s="327" t="s">
        <v>376</v>
      </c>
      <c r="T11" s="327" t="s">
        <v>276</v>
      </c>
      <c r="U11" s="170">
        <f>J11*$U$7</f>
        <v>7322.7999999999993</v>
      </c>
      <c r="V11" s="277">
        <f>'CarichiApparecchiature(NO PLOT)'!J8</f>
        <v>1462.4999999999998</v>
      </c>
      <c r="W11" s="324">
        <v>10</v>
      </c>
      <c r="X11" s="416">
        <f>W11*$X$7</f>
        <v>1000</v>
      </c>
      <c r="Y11" s="416">
        <f>W11*$Y$7</f>
        <v>750</v>
      </c>
      <c r="Z11" s="128">
        <f>L11*$AC$3</f>
        <v>5711.7839999999997</v>
      </c>
      <c r="AA11" s="128">
        <f>U11+V11+X11+Z11</f>
        <v>15497.083999999999</v>
      </c>
      <c r="AB11" s="128">
        <f>L11*$AD$3</f>
        <v>12375.531999999999</v>
      </c>
      <c r="AC11" s="132"/>
      <c r="AD11" s="132"/>
    </row>
    <row r="12" spans="1:32" ht="13.8">
      <c r="A12" s="322" t="s">
        <v>338</v>
      </c>
      <c r="B12" s="323" t="s">
        <v>350</v>
      </c>
      <c r="C12" s="324" t="s">
        <v>440</v>
      </c>
      <c r="D12" s="325" t="s">
        <v>441</v>
      </c>
      <c r="E12" s="122"/>
      <c r="F12" s="324" t="s">
        <v>153</v>
      </c>
      <c r="G12" s="324" t="s">
        <v>154</v>
      </c>
      <c r="H12" s="328">
        <v>6</v>
      </c>
      <c r="I12" s="328">
        <v>6</v>
      </c>
      <c r="J12" s="326">
        <v>8.9</v>
      </c>
      <c r="K12" s="326">
        <v>2.7</v>
      </c>
      <c r="L12" s="127">
        <f t="shared" si="4"/>
        <v>24.03</v>
      </c>
      <c r="M12" s="327">
        <v>22</v>
      </c>
      <c r="N12" s="327" t="s">
        <v>282</v>
      </c>
      <c r="O12" s="327" t="s">
        <v>376</v>
      </c>
      <c r="P12" s="327" t="s">
        <v>276</v>
      </c>
      <c r="Q12" s="327">
        <v>22</v>
      </c>
      <c r="R12" s="327" t="s">
        <v>282</v>
      </c>
      <c r="S12" s="327" t="s">
        <v>376</v>
      </c>
      <c r="T12" s="327" t="s">
        <v>276</v>
      </c>
      <c r="U12" s="170">
        <f t="shared" si="5"/>
        <v>178</v>
      </c>
      <c r="V12" s="277">
        <f>'CarichiApparecchiature(NO PLOT)'!J11</f>
        <v>0</v>
      </c>
      <c r="W12" s="324">
        <v>0</v>
      </c>
      <c r="X12" s="416">
        <f t="shared" si="6"/>
        <v>0</v>
      </c>
      <c r="Y12" s="416">
        <f t="shared" si="7"/>
        <v>0</v>
      </c>
      <c r="Z12" s="128">
        <f>L12*$AC$7</f>
        <v>276.34500000000003</v>
      </c>
      <c r="AA12" s="128">
        <f t="shared" si="8"/>
        <v>454.34500000000003</v>
      </c>
      <c r="AB12" s="128">
        <f>L12*$AD$7</f>
        <v>396.495</v>
      </c>
      <c r="AC12" s="132">
        <f>_xlfn.CEILING.MATH('Carichi t. LBW(NO PLOT)'!AA9,0.5)</f>
        <v>8.5</v>
      </c>
      <c r="AD12" s="132">
        <f>_xlfn.CEILING.MATH('Carichi t. LBW(NO PLOT)'!AC20,0.5)</f>
        <v>12.5</v>
      </c>
      <c r="AE12" s="120" t="s">
        <v>358</v>
      </c>
    </row>
    <row r="13" spans="1:32" ht="13.8">
      <c r="A13" s="322" t="s">
        <v>338</v>
      </c>
      <c r="B13" s="323" t="s">
        <v>350</v>
      </c>
      <c r="C13" s="324" t="s">
        <v>442</v>
      </c>
      <c r="D13" s="325" t="s">
        <v>349</v>
      </c>
      <c r="E13" s="122"/>
      <c r="F13" s="324" t="s">
        <v>153</v>
      </c>
      <c r="G13" s="324" t="s">
        <v>154</v>
      </c>
      <c r="H13" s="328">
        <v>6</v>
      </c>
      <c r="I13" s="328">
        <v>6</v>
      </c>
      <c r="J13" s="326">
        <v>5.9</v>
      </c>
      <c r="K13" s="326">
        <v>2.7</v>
      </c>
      <c r="L13" s="127">
        <f t="shared" si="4"/>
        <v>15.930000000000001</v>
      </c>
      <c r="M13" s="327">
        <v>22</v>
      </c>
      <c r="N13" s="327" t="s">
        <v>282</v>
      </c>
      <c r="O13" s="327" t="s">
        <v>376</v>
      </c>
      <c r="P13" s="327" t="s">
        <v>276</v>
      </c>
      <c r="Q13" s="327">
        <v>22</v>
      </c>
      <c r="R13" s="327" t="s">
        <v>282</v>
      </c>
      <c r="S13" s="327" t="s">
        <v>376</v>
      </c>
      <c r="T13" s="327" t="s">
        <v>276</v>
      </c>
      <c r="U13" s="170">
        <f t="shared" si="5"/>
        <v>118</v>
      </c>
      <c r="V13" s="277">
        <f>'CarichiApparecchiature(NO PLOT)'!J12</f>
        <v>0</v>
      </c>
      <c r="W13" s="324">
        <v>0</v>
      </c>
      <c r="X13" s="416">
        <f t="shared" si="6"/>
        <v>0</v>
      </c>
      <c r="Y13" s="416">
        <f t="shared" si="7"/>
        <v>0</v>
      </c>
      <c r="Z13" s="128">
        <f>L13*$AC$7</f>
        <v>183.19500000000002</v>
      </c>
      <c r="AA13" s="128">
        <f t="shared" si="8"/>
        <v>301.19500000000005</v>
      </c>
      <c r="AB13" s="128">
        <f>L13*$AD$7</f>
        <v>262.84500000000003</v>
      </c>
      <c r="AC13" s="132">
        <f>_xlfn.CEILING.MATH('Carichi t. REV(NO PLOT)'!AA4,0.5)</f>
        <v>22</v>
      </c>
      <c r="AD13" s="132">
        <f>_xlfn.CEILING.MATH('Carichi t. REV(NO PLOT)'!AA11,0.5)</f>
        <v>11</v>
      </c>
      <c r="AE13" s="120" t="s">
        <v>368</v>
      </c>
    </row>
    <row r="14" spans="1:32" ht="13.8">
      <c r="A14" s="322" t="s">
        <v>338</v>
      </c>
      <c r="B14" s="323" t="s">
        <v>350</v>
      </c>
      <c r="C14" s="324" t="s">
        <v>443</v>
      </c>
      <c r="D14" s="325" t="s">
        <v>444</v>
      </c>
      <c r="E14" s="122"/>
      <c r="F14" s="324" t="s">
        <v>153</v>
      </c>
      <c r="G14" s="324" t="s">
        <v>154</v>
      </c>
      <c r="H14" s="328">
        <v>6</v>
      </c>
      <c r="I14" s="328">
        <v>6</v>
      </c>
      <c r="J14" s="326">
        <v>23.36</v>
      </c>
      <c r="K14" s="326">
        <v>2.7</v>
      </c>
      <c r="L14" s="127">
        <f t="shared" si="4"/>
        <v>63.072000000000003</v>
      </c>
      <c r="M14" s="327">
        <v>22</v>
      </c>
      <c r="N14" s="327" t="s">
        <v>282</v>
      </c>
      <c r="O14" s="327" t="s">
        <v>376</v>
      </c>
      <c r="P14" s="327" t="s">
        <v>276</v>
      </c>
      <c r="Q14" s="327">
        <v>22</v>
      </c>
      <c r="R14" s="327" t="s">
        <v>282</v>
      </c>
      <c r="S14" s="327" t="s">
        <v>376</v>
      </c>
      <c r="T14" s="327" t="s">
        <v>276</v>
      </c>
      <c r="U14" s="170">
        <f t="shared" si="5"/>
        <v>467.2</v>
      </c>
      <c r="V14" s="277">
        <f>'CarichiApparecchiature(NO PLOT)'!J13</f>
        <v>0</v>
      </c>
      <c r="W14" s="324">
        <v>0</v>
      </c>
      <c r="X14" s="416">
        <f t="shared" si="6"/>
        <v>0</v>
      </c>
      <c r="Y14" s="416">
        <f t="shared" si="7"/>
        <v>0</v>
      </c>
      <c r="Z14" s="128">
        <f>L14*$AC$8</f>
        <v>851.47199999999998</v>
      </c>
      <c r="AA14" s="128">
        <f t="shared" si="8"/>
        <v>1318.672</v>
      </c>
      <c r="AB14" s="128">
        <f>L14*$AD$8</f>
        <v>883.00800000000004</v>
      </c>
      <c r="AC14" s="132">
        <f>AC7/2</f>
        <v>5.75</v>
      </c>
      <c r="AD14" s="214">
        <f>AD7/2</f>
        <v>8.25</v>
      </c>
      <c r="AE14" s="120" t="s">
        <v>369</v>
      </c>
    </row>
    <row r="15" spans="1:32" ht="39.6">
      <c r="A15" s="528" t="s">
        <v>406</v>
      </c>
      <c r="B15" s="323" t="s">
        <v>359</v>
      </c>
      <c r="C15" s="503" t="s">
        <v>534</v>
      </c>
      <c r="D15" s="325" t="s">
        <v>433</v>
      </c>
      <c r="E15" s="122"/>
      <c r="F15" s="324" t="s">
        <v>153</v>
      </c>
      <c r="G15" s="324" t="s">
        <v>154</v>
      </c>
      <c r="H15" s="328">
        <v>3</v>
      </c>
      <c r="I15" s="328">
        <v>3</v>
      </c>
      <c r="J15" s="326">
        <v>63.81</v>
      </c>
      <c r="K15" s="326">
        <v>2.7</v>
      </c>
      <c r="L15" s="127">
        <f>J15*K15</f>
        <v>172.28700000000001</v>
      </c>
      <c r="M15" s="327">
        <v>22</v>
      </c>
      <c r="N15" s="327" t="s">
        <v>317</v>
      </c>
      <c r="O15" s="327" t="s">
        <v>376</v>
      </c>
      <c r="P15" s="327" t="s">
        <v>276</v>
      </c>
      <c r="Q15" s="327">
        <v>22</v>
      </c>
      <c r="R15" s="327" t="s">
        <v>318</v>
      </c>
      <c r="S15" s="327" t="s">
        <v>376</v>
      </c>
      <c r="T15" s="327" t="s">
        <v>276</v>
      </c>
      <c r="U15" s="170">
        <f>J15*$U$7</f>
        <v>1276.2</v>
      </c>
      <c r="V15" s="277">
        <f>'CarichiApparecchiature(NO PLOT)'!J23</f>
        <v>10800</v>
      </c>
      <c r="W15" s="324">
        <v>0</v>
      </c>
      <c r="X15" s="416">
        <f>W15*$X$7</f>
        <v>0</v>
      </c>
      <c r="Y15" s="416">
        <f>W15*$Y$7</f>
        <v>0</v>
      </c>
      <c r="Z15" s="128">
        <f>L15*AC13</f>
        <v>3790.3140000000003</v>
      </c>
      <c r="AA15" s="128">
        <f>U15+V15+X15+Z15</f>
        <v>15866.514000000001</v>
      </c>
      <c r="AB15" s="128">
        <f>L15*AD13</f>
        <v>1895.1570000000002</v>
      </c>
    </row>
    <row r="16" spans="1:32" s="430" customFormat="1" ht="26.4">
      <c r="A16" s="529" t="s">
        <v>494</v>
      </c>
      <c r="B16" s="424" t="s">
        <v>397</v>
      </c>
      <c r="C16" s="432" t="s">
        <v>399</v>
      </c>
      <c r="D16" s="431" t="s">
        <v>400</v>
      </c>
      <c r="E16" s="420"/>
      <c r="F16" s="425" t="s">
        <v>153</v>
      </c>
      <c r="G16" s="425" t="s">
        <v>154</v>
      </c>
      <c r="H16" s="460">
        <v>3</v>
      </c>
      <c r="I16" s="460">
        <v>3</v>
      </c>
      <c r="J16" s="517">
        <v>43.5</v>
      </c>
      <c r="K16" s="517">
        <v>3</v>
      </c>
      <c r="L16" s="426">
        <f t="shared" ref="L16" si="9">J16*K16</f>
        <v>130.5</v>
      </c>
      <c r="M16" s="427" t="s">
        <v>276</v>
      </c>
      <c r="N16" s="427" t="s">
        <v>276</v>
      </c>
      <c r="O16" s="427" t="s">
        <v>276</v>
      </c>
      <c r="P16" s="427" t="s">
        <v>276</v>
      </c>
      <c r="Q16" s="427" t="s">
        <v>276</v>
      </c>
      <c r="R16" s="427" t="s">
        <v>276</v>
      </c>
      <c r="S16" s="427" t="s">
        <v>276</v>
      </c>
      <c r="T16" s="427" t="s">
        <v>276</v>
      </c>
      <c r="U16" s="428" t="s">
        <v>276</v>
      </c>
      <c r="V16" s="429" t="s">
        <v>276</v>
      </c>
      <c r="W16" s="425">
        <v>0</v>
      </c>
      <c r="X16" s="428" t="s">
        <v>276</v>
      </c>
      <c r="Y16" s="428" t="s">
        <v>276</v>
      </c>
      <c r="Z16" s="428" t="s">
        <v>276</v>
      </c>
      <c r="AA16" s="428" t="s">
        <v>276</v>
      </c>
      <c r="AB16" s="428" t="s">
        <v>276</v>
      </c>
      <c r="AC16" s="132">
        <v>7.5</v>
      </c>
      <c r="AD16" s="132">
        <f>_xlfn.CEILING.MATH('Carichi t. LBW(NO PLOT)'!AC27,0.5)</f>
        <v>0</v>
      </c>
      <c r="AE16" s="120" t="s">
        <v>356</v>
      </c>
      <c r="AF16" s="39"/>
    </row>
    <row r="17" spans="1:32" s="430" customFormat="1" ht="26.4">
      <c r="A17" s="529" t="s">
        <v>494</v>
      </c>
      <c r="B17" s="424" t="s">
        <v>398</v>
      </c>
      <c r="C17" s="432" t="s">
        <v>401</v>
      </c>
      <c r="D17" s="431" t="s">
        <v>402</v>
      </c>
      <c r="E17" s="420"/>
      <c r="F17" s="425" t="s">
        <v>153</v>
      </c>
      <c r="G17" s="425" t="s">
        <v>154</v>
      </c>
      <c r="H17" s="460">
        <v>3</v>
      </c>
      <c r="I17" s="460">
        <v>3</v>
      </c>
      <c r="J17" s="517">
        <v>52.56</v>
      </c>
      <c r="K17" s="517">
        <v>3</v>
      </c>
      <c r="L17" s="426">
        <f t="shared" ref="L17:L18" si="10">J17*K17</f>
        <v>157.68</v>
      </c>
      <c r="M17" s="427" t="s">
        <v>276</v>
      </c>
      <c r="N17" s="427" t="s">
        <v>276</v>
      </c>
      <c r="O17" s="427" t="s">
        <v>276</v>
      </c>
      <c r="P17" s="427" t="s">
        <v>276</v>
      </c>
      <c r="Q17" s="427" t="s">
        <v>276</v>
      </c>
      <c r="R17" s="427" t="s">
        <v>276</v>
      </c>
      <c r="S17" s="427" t="s">
        <v>276</v>
      </c>
      <c r="T17" s="427" t="s">
        <v>276</v>
      </c>
      <c r="U17" s="428" t="s">
        <v>276</v>
      </c>
      <c r="V17" s="429" t="s">
        <v>276</v>
      </c>
      <c r="W17" s="425">
        <v>0</v>
      </c>
      <c r="X17" s="428" t="s">
        <v>276</v>
      </c>
      <c r="Y17" s="428" t="s">
        <v>276</v>
      </c>
      <c r="Z17" s="428" t="s">
        <v>276</v>
      </c>
      <c r="AA17" s="428" t="s">
        <v>276</v>
      </c>
      <c r="AB17" s="428" t="s">
        <v>276</v>
      </c>
      <c r="AC17" s="132">
        <f>_xlfn.CEILING.MATH('Carichi t. LBW(NO PLOT)'!AA31,0.5)</f>
        <v>0</v>
      </c>
      <c r="AD17" s="132">
        <f>_xlfn.CEILING.MATH('Carichi t. LBW(NO PLOT)'!AC44,0.5)</f>
        <v>0</v>
      </c>
      <c r="AE17" s="120" t="s">
        <v>356</v>
      </c>
      <c r="AF17" s="39"/>
    </row>
    <row r="18" spans="1:32" s="430" customFormat="1" ht="26.4">
      <c r="A18" s="529" t="s">
        <v>494</v>
      </c>
      <c r="B18" s="424" t="s">
        <v>398</v>
      </c>
      <c r="C18" s="432" t="s">
        <v>403</v>
      </c>
      <c r="D18" s="431" t="s">
        <v>404</v>
      </c>
      <c r="E18" s="420"/>
      <c r="F18" s="425" t="s">
        <v>153</v>
      </c>
      <c r="G18" s="425" t="s">
        <v>154</v>
      </c>
      <c r="H18" s="460">
        <v>3</v>
      </c>
      <c r="I18" s="460">
        <v>3</v>
      </c>
      <c r="J18" s="517">
        <v>70.27</v>
      </c>
      <c r="K18" s="517">
        <v>3</v>
      </c>
      <c r="L18" s="426">
        <f t="shared" si="10"/>
        <v>210.81</v>
      </c>
      <c r="M18" s="427" t="s">
        <v>276</v>
      </c>
      <c r="N18" s="427" t="s">
        <v>276</v>
      </c>
      <c r="O18" s="427" t="s">
        <v>276</v>
      </c>
      <c r="P18" s="427" t="s">
        <v>276</v>
      </c>
      <c r="Q18" s="427" t="s">
        <v>276</v>
      </c>
      <c r="R18" s="427" t="s">
        <v>276</v>
      </c>
      <c r="S18" s="427" t="s">
        <v>276</v>
      </c>
      <c r="T18" s="427" t="s">
        <v>276</v>
      </c>
      <c r="U18" s="428" t="s">
        <v>276</v>
      </c>
      <c r="V18" s="429" t="s">
        <v>276</v>
      </c>
      <c r="W18" s="425">
        <v>0</v>
      </c>
      <c r="X18" s="428" t="s">
        <v>276</v>
      </c>
      <c r="Y18" s="428" t="s">
        <v>276</v>
      </c>
      <c r="Z18" s="428" t="s">
        <v>276</v>
      </c>
      <c r="AA18" s="428" t="s">
        <v>276</v>
      </c>
      <c r="AB18" s="428" t="s">
        <v>276</v>
      </c>
      <c r="AC18" s="132">
        <f>_xlfn.CEILING.MATH('Carichi t. LBW(NO PLOT)'!AA34,0.5)</f>
        <v>0</v>
      </c>
      <c r="AD18" s="132">
        <f>_xlfn.CEILING.MATH('Carichi t. LBW(NO PLOT)'!AC47,0.5)</f>
        <v>0</v>
      </c>
      <c r="AE18" s="120" t="s">
        <v>373</v>
      </c>
      <c r="AF18" s="39"/>
    </row>
    <row r="19" spans="1:32">
      <c r="A19" s="124"/>
      <c r="B19" s="125"/>
      <c r="C19" s="122"/>
      <c r="D19" s="171"/>
      <c r="E19" s="122"/>
      <c r="F19" s="122"/>
      <c r="G19" s="122"/>
      <c r="H19" s="130"/>
      <c r="I19" s="130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303"/>
      <c r="V19" s="310"/>
      <c r="W19" s="122"/>
      <c r="X19" s="417"/>
      <c r="Y19" s="417"/>
      <c r="Z19" s="129"/>
      <c r="AA19" s="129"/>
      <c r="AB19" s="129"/>
      <c r="AC19" s="120"/>
      <c r="AD19" s="120"/>
      <c r="AE19" s="120"/>
      <c r="AF19" s="120"/>
    </row>
    <row r="20" spans="1:32" ht="39.6">
      <c r="A20" s="528" t="s">
        <v>412</v>
      </c>
      <c r="B20" s="323" t="s">
        <v>350</v>
      </c>
      <c r="C20" s="324" t="s">
        <v>445</v>
      </c>
      <c r="D20" s="325" t="s">
        <v>446</v>
      </c>
      <c r="E20" s="122"/>
      <c r="F20" s="324" t="s">
        <v>153</v>
      </c>
      <c r="G20" s="324" t="s">
        <v>154</v>
      </c>
      <c r="H20" s="341" t="s">
        <v>351</v>
      </c>
      <c r="I20" s="341" t="s">
        <v>361</v>
      </c>
      <c r="J20" s="326">
        <v>18.37</v>
      </c>
      <c r="K20" s="326">
        <v>2.7</v>
      </c>
      <c r="L20" s="127">
        <f t="shared" si="4"/>
        <v>49.599000000000004</v>
      </c>
      <c r="M20" s="327">
        <v>22</v>
      </c>
      <c r="N20" s="327" t="s">
        <v>282</v>
      </c>
      <c r="O20" s="327" t="s">
        <v>376</v>
      </c>
      <c r="P20" s="327" t="s">
        <v>276</v>
      </c>
      <c r="Q20" s="327">
        <v>22</v>
      </c>
      <c r="R20" s="327" t="s">
        <v>282</v>
      </c>
      <c r="S20" s="327" t="s">
        <v>376</v>
      </c>
      <c r="T20" s="327" t="s">
        <v>276</v>
      </c>
      <c r="U20" s="170">
        <f t="shared" si="5"/>
        <v>367.40000000000003</v>
      </c>
      <c r="V20" s="277">
        <f>'CarichiApparecchiature(NO PLOT)'!J14</f>
        <v>0</v>
      </c>
      <c r="W20" s="324">
        <f>_xlfn.CEILING.MATH(25*0.25,1)</f>
        <v>7</v>
      </c>
      <c r="X20" s="416">
        <f t="shared" si="6"/>
        <v>700</v>
      </c>
      <c r="Y20" s="416">
        <f t="shared" si="7"/>
        <v>525</v>
      </c>
      <c r="Z20" s="128">
        <f>L20*$AC$12</f>
        <v>421.59150000000005</v>
      </c>
      <c r="AA20" s="128">
        <f t="shared" si="8"/>
        <v>1488.9915000000001</v>
      </c>
      <c r="AB20" s="128">
        <f>L20*$AD$12</f>
        <v>619.98750000000007</v>
      </c>
      <c r="AC20" s="132">
        <f>_xlfn.CEILING.MATH('Carichi t. LINK(NO PLOT)'!AA4,0.5)</f>
        <v>4.5</v>
      </c>
      <c r="AD20" s="132">
        <f>_xlfn.CEILING.MATH('Carichi t. LINK(NO PLOT)'!AA8,0.5)</f>
        <v>7.5</v>
      </c>
      <c r="AE20" s="120" t="s">
        <v>377</v>
      </c>
    </row>
    <row r="21" spans="1:32" s="120" customFormat="1" ht="39.6">
      <c r="A21" s="528" t="s">
        <v>412</v>
      </c>
      <c r="B21" s="323" t="s">
        <v>350</v>
      </c>
      <c r="C21" s="324" t="s">
        <v>447</v>
      </c>
      <c r="D21" s="325" t="s">
        <v>448</v>
      </c>
      <c r="E21" s="122"/>
      <c r="F21" s="324" t="s">
        <v>153</v>
      </c>
      <c r="G21" s="324" t="s">
        <v>154</v>
      </c>
      <c r="H21" s="328">
        <v>0</v>
      </c>
      <c r="I21" s="328" t="s">
        <v>360</v>
      </c>
      <c r="J21" s="326">
        <v>23</v>
      </c>
      <c r="K21" s="326">
        <v>2.7</v>
      </c>
      <c r="L21" s="127">
        <f t="shared" si="4"/>
        <v>62.1</v>
      </c>
      <c r="M21" s="327">
        <v>22</v>
      </c>
      <c r="N21" s="327" t="s">
        <v>282</v>
      </c>
      <c r="O21" s="327" t="s">
        <v>376</v>
      </c>
      <c r="P21" s="327" t="s">
        <v>276</v>
      </c>
      <c r="Q21" s="327">
        <v>22</v>
      </c>
      <c r="R21" s="327" t="s">
        <v>282</v>
      </c>
      <c r="S21" s="327" t="s">
        <v>376</v>
      </c>
      <c r="T21" s="327" t="s">
        <v>276</v>
      </c>
      <c r="U21" s="170">
        <f t="shared" si="5"/>
        <v>460</v>
      </c>
      <c r="V21" s="277">
        <f>'CarichiApparecchiature(NO PLOT)'!J15</f>
        <v>0</v>
      </c>
      <c r="W21" s="324">
        <v>0</v>
      </c>
      <c r="X21" s="416">
        <f t="shared" si="6"/>
        <v>0</v>
      </c>
      <c r="Y21" s="416">
        <f t="shared" si="7"/>
        <v>0</v>
      </c>
      <c r="Z21" s="128">
        <f>L21*$AC$9/3</f>
        <v>175.95000000000002</v>
      </c>
      <c r="AA21" s="128">
        <f t="shared" si="8"/>
        <v>635.95000000000005</v>
      </c>
      <c r="AB21" s="128">
        <f>L21*$AD$9</f>
        <v>776.25</v>
      </c>
    </row>
    <row r="22" spans="1:32" s="120" customFormat="1" ht="39.6">
      <c r="A22" s="528" t="s">
        <v>412</v>
      </c>
      <c r="B22" s="323" t="s">
        <v>350</v>
      </c>
      <c r="C22" s="324" t="s">
        <v>449</v>
      </c>
      <c r="D22" s="325" t="s">
        <v>450</v>
      </c>
      <c r="E22" s="122"/>
      <c r="F22" s="324" t="s">
        <v>153</v>
      </c>
      <c r="G22" s="324" t="s">
        <v>154</v>
      </c>
      <c r="H22" s="328">
        <v>0</v>
      </c>
      <c r="I22" s="328" t="s">
        <v>360</v>
      </c>
      <c r="J22" s="326">
        <v>23</v>
      </c>
      <c r="K22" s="326">
        <v>2.7</v>
      </c>
      <c r="L22" s="127">
        <f t="shared" si="4"/>
        <v>62.1</v>
      </c>
      <c r="M22" s="327">
        <v>22</v>
      </c>
      <c r="N22" s="327" t="s">
        <v>282</v>
      </c>
      <c r="O22" s="327" t="s">
        <v>376</v>
      </c>
      <c r="P22" s="327" t="s">
        <v>276</v>
      </c>
      <c r="Q22" s="327">
        <v>22</v>
      </c>
      <c r="R22" s="327" t="s">
        <v>282</v>
      </c>
      <c r="S22" s="327" t="s">
        <v>376</v>
      </c>
      <c r="T22" s="327" t="s">
        <v>276</v>
      </c>
      <c r="U22" s="170">
        <f t="shared" si="5"/>
        <v>460</v>
      </c>
      <c r="V22" s="277">
        <f>'CarichiApparecchiature(NO PLOT)'!J16</f>
        <v>0</v>
      </c>
      <c r="W22" s="324">
        <v>0</v>
      </c>
      <c r="X22" s="416">
        <f t="shared" si="6"/>
        <v>0</v>
      </c>
      <c r="Y22" s="416">
        <f t="shared" si="7"/>
        <v>0</v>
      </c>
      <c r="Z22" s="128">
        <f>L22*$AC$9/3</f>
        <v>175.95000000000002</v>
      </c>
      <c r="AA22" s="128">
        <f t="shared" si="8"/>
        <v>635.95000000000005</v>
      </c>
      <c r="AB22" s="128">
        <f>L22*$AD$9</f>
        <v>776.25</v>
      </c>
      <c r="AC22" s="132">
        <v>0</v>
      </c>
      <c r="AD22" s="132">
        <v>0</v>
      </c>
      <c r="AE22" s="283" t="s">
        <v>283</v>
      </c>
      <c r="AF22" s="39"/>
    </row>
    <row r="23" spans="1:32" ht="39.6">
      <c r="A23" s="528" t="s">
        <v>412</v>
      </c>
      <c r="B23" s="323" t="s">
        <v>350</v>
      </c>
      <c r="C23" s="324" t="s">
        <v>451</v>
      </c>
      <c r="D23" s="325" t="s">
        <v>452</v>
      </c>
      <c r="E23" s="122"/>
      <c r="F23" s="324" t="s">
        <v>153</v>
      </c>
      <c r="G23" s="324" t="s">
        <v>154</v>
      </c>
      <c r="H23" s="341" t="s">
        <v>351</v>
      </c>
      <c r="I23" s="341" t="s">
        <v>361</v>
      </c>
      <c r="J23" s="326">
        <v>26</v>
      </c>
      <c r="K23" s="326">
        <v>2.7</v>
      </c>
      <c r="L23" s="127">
        <f t="shared" si="4"/>
        <v>70.2</v>
      </c>
      <c r="M23" s="327">
        <v>22</v>
      </c>
      <c r="N23" s="327" t="s">
        <v>282</v>
      </c>
      <c r="O23" s="327" t="s">
        <v>376</v>
      </c>
      <c r="P23" s="327" t="s">
        <v>276</v>
      </c>
      <c r="Q23" s="327">
        <v>22</v>
      </c>
      <c r="R23" s="327" t="s">
        <v>282</v>
      </c>
      <c r="S23" s="327" t="s">
        <v>376</v>
      </c>
      <c r="T23" s="327" t="s">
        <v>276</v>
      </c>
      <c r="U23" s="170">
        <f t="shared" si="5"/>
        <v>520</v>
      </c>
      <c r="V23" s="277">
        <f>'CarichiApparecchiature(NO PLOT)'!J17</f>
        <v>0</v>
      </c>
      <c r="W23" s="324">
        <f>_xlfn.CEILING.MATH(39*0.25,1)</f>
        <v>10</v>
      </c>
      <c r="X23" s="416">
        <f t="shared" si="6"/>
        <v>1000</v>
      </c>
      <c r="Y23" s="416">
        <f t="shared" si="7"/>
        <v>750</v>
      </c>
      <c r="Z23" s="128">
        <f>L23*$AC$12</f>
        <v>596.70000000000005</v>
      </c>
      <c r="AA23" s="128">
        <f t="shared" si="8"/>
        <v>2116.6999999999998</v>
      </c>
      <c r="AB23" s="128">
        <f>L23*$AD$12</f>
        <v>877.5</v>
      </c>
      <c r="AC23" s="441">
        <v>13</v>
      </c>
      <c r="AD23" s="441">
        <v>11</v>
      </c>
      <c r="AE23" s="418" t="s">
        <v>163</v>
      </c>
    </row>
    <row r="24" spans="1:32" ht="39.6">
      <c r="A24" s="528" t="s">
        <v>412</v>
      </c>
      <c r="B24" s="323" t="s">
        <v>350</v>
      </c>
      <c r="C24" s="324" t="s">
        <v>526</v>
      </c>
      <c r="D24" s="325" t="s">
        <v>525</v>
      </c>
      <c r="E24" s="122"/>
      <c r="F24" s="324" t="s">
        <v>153</v>
      </c>
      <c r="G24" s="324" t="s">
        <v>154</v>
      </c>
      <c r="H24" s="341" t="s">
        <v>351</v>
      </c>
      <c r="I24" s="341" t="s">
        <v>361</v>
      </c>
      <c r="J24" s="326">
        <v>7</v>
      </c>
      <c r="K24" s="326">
        <v>2.7</v>
      </c>
      <c r="L24" s="127">
        <f t="shared" ref="L24" si="11">J24*K24</f>
        <v>18.900000000000002</v>
      </c>
      <c r="M24" s="327">
        <v>22</v>
      </c>
      <c r="N24" s="327" t="s">
        <v>282</v>
      </c>
      <c r="O24" s="327" t="s">
        <v>376</v>
      </c>
      <c r="P24" s="327" t="s">
        <v>276</v>
      </c>
      <c r="Q24" s="327">
        <v>22</v>
      </c>
      <c r="R24" s="327" t="s">
        <v>282</v>
      </c>
      <c r="S24" s="327" t="s">
        <v>376</v>
      </c>
      <c r="T24" s="327" t="s">
        <v>276</v>
      </c>
      <c r="U24" s="170">
        <f t="shared" ref="U24" si="12">J24*$U$7</f>
        <v>140</v>
      </c>
      <c r="V24" s="277">
        <f>'CarichiApparecchiature(NO PLOT)'!J18</f>
        <v>75</v>
      </c>
      <c r="W24" s="324">
        <v>1</v>
      </c>
      <c r="X24" s="416">
        <f t="shared" ref="X24" si="13">W24*$X$7</f>
        <v>100</v>
      </c>
      <c r="Y24" s="416">
        <f t="shared" ref="Y24" si="14">W24*$Y$7</f>
        <v>75</v>
      </c>
      <c r="Z24" s="128">
        <f>L24*$AC$7</f>
        <v>217.35000000000002</v>
      </c>
      <c r="AA24" s="128">
        <f t="shared" ref="AA24" si="15">U24+V24+X24+Z24</f>
        <v>532.35</v>
      </c>
      <c r="AB24" s="128">
        <f>L24*$AD$7</f>
        <v>311.85000000000002</v>
      </c>
      <c r="AC24" s="441"/>
      <c r="AD24" s="441"/>
      <c r="AE24" s="418"/>
    </row>
    <row r="25" spans="1:32" ht="39.6">
      <c r="A25" s="528" t="s">
        <v>412</v>
      </c>
      <c r="B25" s="323" t="s">
        <v>350</v>
      </c>
      <c r="C25" s="324" t="s">
        <v>524</v>
      </c>
      <c r="D25" s="325" t="s">
        <v>527</v>
      </c>
      <c r="E25" s="122"/>
      <c r="F25" s="324" t="s">
        <v>153</v>
      </c>
      <c r="G25" s="324" t="s">
        <v>154</v>
      </c>
      <c r="H25" s="341">
        <v>3</v>
      </c>
      <c r="I25" s="341">
        <v>3</v>
      </c>
      <c r="J25" s="326">
        <v>6</v>
      </c>
      <c r="K25" s="326">
        <v>2.7</v>
      </c>
      <c r="L25" s="127">
        <f t="shared" ref="L25" si="16">J25*K25</f>
        <v>16.200000000000003</v>
      </c>
      <c r="M25" s="327">
        <v>25</v>
      </c>
      <c r="N25" s="327" t="s">
        <v>528</v>
      </c>
      <c r="O25" s="327" t="s">
        <v>276</v>
      </c>
      <c r="P25" s="327" t="s">
        <v>276</v>
      </c>
      <c r="Q25" s="327">
        <v>20</v>
      </c>
      <c r="R25" s="327" t="s">
        <v>318</v>
      </c>
      <c r="S25" s="327" t="s">
        <v>276</v>
      </c>
      <c r="T25" s="327" t="s">
        <v>276</v>
      </c>
      <c r="U25" s="170">
        <f t="shared" ref="U25" si="17">J25*$U$7</f>
        <v>120</v>
      </c>
      <c r="V25" s="277">
        <f>'CarichiApparecchiature(NO PLOT)'!J19</f>
        <v>5500</v>
      </c>
      <c r="W25" s="324">
        <v>0</v>
      </c>
      <c r="X25" s="416">
        <f t="shared" ref="X25" si="18">W25*$X$7</f>
        <v>0</v>
      </c>
      <c r="Y25" s="416">
        <f t="shared" ref="Y25" si="19">W25*$Y$7</f>
        <v>0</v>
      </c>
      <c r="Z25" s="128">
        <f>L25*$AC$7</f>
        <v>186.30000000000004</v>
      </c>
      <c r="AA25" s="128">
        <f t="shared" ref="AA25" si="20">U25+V25+X25+Z25</f>
        <v>5806.3</v>
      </c>
      <c r="AB25" s="128">
        <f>L25*$AD$7</f>
        <v>267.30000000000007</v>
      </c>
      <c r="AC25" s="441"/>
      <c r="AD25" s="441"/>
      <c r="AE25" s="418"/>
    </row>
    <row r="26" spans="1:32">
      <c r="A26" s="124"/>
      <c r="B26" s="125"/>
      <c r="C26" s="122"/>
      <c r="D26" s="171"/>
      <c r="E26" s="122"/>
      <c r="F26" s="122"/>
      <c r="G26" s="122"/>
      <c r="H26" s="130"/>
      <c r="I26" s="130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303"/>
      <c r="V26" s="310"/>
      <c r="W26" s="122"/>
      <c r="X26" s="417"/>
      <c r="Y26" s="417"/>
      <c r="Z26" s="129"/>
      <c r="AA26" s="129"/>
      <c r="AB26" s="129"/>
      <c r="AC26" s="132">
        <f>_xlfn.CEILING.MATH('Carichi t. REV(NO PLOT)'!AA6,1)</f>
        <v>7</v>
      </c>
      <c r="AD26" s="132">
        <f>_xlfn.CEILING.MATH('Carichi t. REV(NO PLOT)'!AA13,0.5)</f>
        <v>4</v>
      </c>
      <c r="AE26" s="120" t="s">
        <v>384</v>
      </c>
    </row>
    <row r="27" spans="1:32" ht="13.8">
      <c r="A27" s="322" t="s">
        <v>366</v>
      </c>
      <c r="B27" s="323" t="s">
        <v>359</v>
      </c>
      <c r="C27" s="324" t="s">
        <v>456</v>
      </c>
      <c r="D27" s="325" t="s">
        <v>375</v>
      </c>
      <c r="E27" s="122"/>
      <c r="F27" s="324" t="s">
        <v>153</v>
      </c>
      <c r="G27" s="324" t="s">
        <v>154</v>
      </c>
      <c r="H27" s="328">
        <v>6</v>
      </c>
      <c r="I27" s="328">
        <v>6</v>
      </c>
      <c r="J27" s="326">
        <v>24.5</v>
      </c>
      <c r="K27" s="326">
        <v>2.7</v>
      </c>
      <c r="L27" s="127">
        <f>J27*K27</f>
        <v>66.150000000000006</v>
      </c>
      <c r="M27" s="327">
        <v>22</v>
      </c>
      <c r="N27" s="327" t="s">
        <v>282</v>
      </c>
      <c r="O27" s="327" t="s">
        <v>376</v>
      </c>
      <c r="P27" s="327" t="s">
        <v>276</v>
      </c>
      <c r="Q27" s="327">
        <v>22</v>
      </c>
      <c r="R27" s="327" t="s">
        <v>282</v>
      </c>
      <c r="S27" s="327" t="s">
        <v>376</v>
      </c>
      <c r="T27" s="327" t="s">
        <v>276</v>
      </c>
      <c r="U27" s="170">
        <f>J27*$U$7</f>
        <v>490</v>
      </c>
      <c r="V27" s="277">
        <f>'CarichiApparecchiature(NO PLOT)'!J30</f>
        <v>0</v>
      </c>
      <c r="W27" s="324">
        <v>0</v>
      </c>
      <c r="X27" s="416">
        <f>W27*$X$7</f>
        <v>0</v>
      </c>
      <c r="Y27" s="416">
        <f>W27*$Y$7</f>
        <v>0</v>
      </c>
      <c r="Z27" s="128">
        <f>L27*$AC$20</f>
        <v>297.67500000000001</v>
      </c>
      <c r="AA27" s="128">
        <f>U27+V27+X27+Z27</f>
        <v>787.67499999999995</v>
      </c>
      <c r="AB27" s="128">
        <f>L27*$AD$20</f>
        <v>496.12500000000006</v>
      </c>
    </row>
    <row r="28" spans="1:32" ht="13.8">
      <c r="A28" s="322" t="s">
        <v>366</v>
      </c>
      <c r="B28" s="323" t="s">
        <v>359</v>
      </c>
      <c r="C28" s="324" t="s">
        <v>457</v>
      </c>
      <c r="D28" s="325" t="s">
        <v>374</v>
      </c>
      <c r="E28" s="122"/>
      <c r="F28" s="324" t="s">
        <v>153</v>
      </c>
      <c r="G28" s="324" t="s">
        <v>154</v>
      </c>
      <c r="H28" s="328">
        <v>6</v>
      </c>
      <c r="I28" s="328">
        <v>6</v>
      </c>
      <c r="J28" s="326">
        <v>4.58</v>
      </c>
      <c r="K28" s="326">
        <v>2.4</v>
      </c>
      <c r="L28" s="127">
        <f>J28*K28</f>
        <v>10.991999999999999</v>
      </c>
      <c r="M28" s="327">
        <v>22</v>
      </c>
      <c r="N28" s="327" t="s">
        <v>282</v>
      </c>
      <c r="O28" s="327" t="s">
        <v>376</v>
      </c>
      <c r="P28" s="327" t="s">
        <v>276</v>
      </c>
      <c r="Q28" s="327">
        <v>22</v>
      </c>
      <c r="R28" s="327" t="s">
        <v>282</v>
      </c>
      <c r="S28" s="327" t="s">
        <v>376</v>
      </c>
      <c r="T28" s="327" t="s">
        <v>276</v>
      </c>
      <c r="U28" s="170">
        <f>J28*$U$7</f>
        <v>91.6</v>
      </c>
      <c r="V28" s="277">
        <f>'CarichiApparecchiature(NO PLOT)'!J29</f>
        <v>0</v>
      </c>
      <c r="W28" s="324">
        <v>0</v>
      </c>
      <c r="X28" s="416">
        <f>W28*$X$7</f>
        <v>0</v>
      </c>
      <c r="Y28" s="416">
        <f>W28*$Y$7</f>
        <v>0</v>
      </c>
      <c r="Z28" s="128">
        <f>L28*$AC$22</f>
        <v>0</v>
      </c>
      <c r="AA28" s="128">
        <f>U28+V28+X28+Z28</f>
        <v>91.6</v>
      </c>
      <c r="AB28" s="128">
        <f>L28*$AD$22</f>
        <v>0</v>
      </c>
    </row>
    <row r="29" spans="1:32">
      <c r="A29" s="124"/>
      <c r="B29" s="125"/>
      <c r="C29" s="122"/>
      <c r="D29" s="171"/>
      <c r="E29" s="122"/>
      <c r="F29" s="122"/>
      <c r="G29" s="122"/>
      <c r="H29" s="130"/>
      <c r="I29" s="130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303"/>
      <c r="V29" s="310"/>
      <c r="W29" s="122"/>
      <c r="X29" s="417"/>
      <c r="Y29" s="417"/>
      <c r="Z29" s="129"/>
      <c r="AA29" s="129"/>
      <c r="AB29" s="129"/>
    </row>
    <row r="30" spans="1:32" ht="13.8">
      <c r="A30" s="528" t="s">
        <v>495</v>
      </c>
      <c r="B30" s="323" t="s">
        <v>359</v>
      </c>
      <c r="C30" s="324" t="s">
        <v>372</v>
      </c>
      <c r="D30" s="325" t="s">
        <v>492</v>
      </c>
      <c r="E30" s="122"/>
      <c r="F30" s="324" t="s">
        <v>153</v>
      </c>
      <c r="G30" s="324" t="s">
        <v>154</v>
      </c>
      <c r="H30" s="328">
        <v>3</v>
      </c>
      <c r="I30" s="328">
        <v>3</v>
      </c>
      <c r="J30" s="326">
        <v>682</v>
      </c>
      <c r="K30" s="326">
        <v>3</v>
      </c>
      <c r="L30" s="127">
        <f>J30*K30</f>
        <v>2046</v>
      </c>
      <c r="M30" s="327">
        <v>22</v>
      </c>
      <c r="N30" s="327" t="s">
        <v>317</v>
      </c>
      <c r="O30" s="327" t="s">
        <v>376</v>
      </c>
      <c r="P30" s="327" t="s">
        <v>276</v>
      </c>
      <c r="Q30" s="327">
        <v>22</v>
      </c>
      <c r="R30" s="327" t="s">
        <v>318</v>
      </c>
      <c r="S30" s="327" t="s">
        <v>376</v>
      </c>
      <c r="T30" s="327" t="s">
        <v>276</v>
      </c>
      <c r="U30" s="170">
        <f>J30*$U$7</f>
        <v>13640</v>
      </c>
      <c r="V30" s="277">
        <f>'CarichiApparecchiature(NO PLOT)'!J32</f>
        <v>2520</v>
      </c>
      <c r="W30" s="324">
        <v>1</v>
      </c>
      <c r="X30" s="416">
        <f>W30*$X$7</f>
        <v>100</v>
      </c>
      <c r="Y30" s="416">
        <f>W30*$Y$7</f>
        <v>75</v>
      </c>
      <c r="Z30" s="128">
        <f>L30*$AC$22</f>
        <v>0</v>
      </c>
      <c r="AA30" s="128">
        <f>U30+V30+X30+Z30</f>
        <v>16260</v>
      </c>
      <c r="AB30" s="128">
        <f>L30*$AD$22</f>
        <v>0</v>
      </c>
    </row>
    <row r="31" spans="1:32" ht="13.8">
      <c r="A31" s="528" t="s">
        <v>495</v>
      </c>
      <c r="B31" s="323" t="s">
        <v>359</v>
      </c>
      <c r="C31" s="324" t="s">
        <v>371</v>
      </c>
      <c r="D31" s="325" t="s">
        <v>493</v>
      </c>
      <c r="E31" s="122"/>
      <c r="F31" s="324" t="s">
        <v>153</v>
      </c>
      <c r="G31" s="324" t="s">
        <v>154</v>
      </c>
      <c r="H31" s="328">
        <v>3</v>
      </c>
      <c r="I31" s="328">
        <v>3</v>
      </c>
      <c r="J31" s="326">
        <v>228</v>
      </c>
      <c r="K31" s="326">
        <f>AVERAGE((3.9-0.4),AVERAGE((3.9-0.4),(3.4-0.4)))</f>
        <v>3.375</v>
      </c>
      <c r="L31" s="127">
        <f t="shared" ref="L31:L32" si="21">J31*K31</f>
        <v>769.5</v>
      </c>
      <c r="M31" s="327">
        <v>22</v>
      </c>
      <c r="N31" s="327" t="s">
        <v>317</v>
      </c>
      <c r="O31" s="327" t="s">
        <v>376</v>
      </c>
      <c r="P31" s="327" t="s">
        <v>276</v>
      </c>
      <c r="Q31" s="327">
        <v>22</v>
      </c>
      <c r="R31" s="327" t="s">
        <v>318</v>
      </c>
      <c r="S31" s="327" t="s">
        <v>376</v>
      </c>
      <c r="T31" s="327" t="s">
        <v>276</v>
      </c>
      <c r="U31" s="170">
        <f t="shared" ref="U31:U32" si="22">J31*$U$7</f>
        <v>4560</v>
      </c>
      <c r="V31" s="277">
        <f>'CarichiApparecchiature(NO PLOT)'!J33</f>
        <v>0</v>
      </c>
      <c r="W31" s="324">
        <v>0</v>
      </c>
      <c r="X31" s="416">
        <f t="shared" ref="X31" si="23">W31*$X$7</f>
        <v>0</v>
      </c>
      <c r="Y31" s="416">
        <f t="shared" ref="Y31" si="24">W31*$Y$7</f>
        <v>0</v>
      </c>
      <c r="Z31" s="128">
        <f>L31*$AC$26</f>
        <v>5386.5</v>
      </c>
      <c r="AA31" s="128">
        <f t="shared" ref="AA31:AA32" si="25">U31+V31+X31+Z31</f>
        <v>9946.5</v>
      </c>
      <c r="AB31" s="128">
        <f>L31*$AD$26</f>
        <v>3078</v>
      </c>
    </row>
    <row r="32" spans="1:32" ht="13.8">
      <c r="A32" s="528" t="s">
        <v>495</v>
      </c>
      <c r="B32" s="323" t="s">
        <v>359</v>
      </c>
      <c r="C32" s="503" t="s">
        <v>501</v>
      </c>
      <c r="D32" s="325" t="s">
        <v>502</v>
      </c>
      <c r="E32" s="122"/>
      <c r="F32" s="324" t="s">
        <v>153</v>
      </c>
      <c r="G32" s="324" t="s">
        <v>154</v>
      </c>
      <c r="H32" s="328">
        <v>3</v>
      </c>
      <c r="I32" s="328">
        <v>3</v>
      </c>
      <c r="J32" s="326">
        <v>24.3</v>
      </c>
      <c r="K32" s="326">
        <v>3.6</v>
      </c>
      <c r="L32" s="127">
        <f t="shared" si="21"/>
        <v>87.48</v>
      </c>
      <c r="M32" s="327">
        <v>22</v>
      </c>
      <c r="N32" s="327" t="s">
        <v>317</v>
      </c>
      <c r="O32" s="327" t="s">
        <v>376</v>
      </c>
      <c r="P32" s="327" t="s">
        <v>276</v>
      </c>
      <c r="Q32" s="327">
        <v>22</v>
      </c>
      <c r="R32" s="327" t="s">
        <v>318</v>
      </c>
      <c r="S32" s="327" t="s">
        <v>376</v>
      </c>
      <c r="T32" s="327" t="s">
        <v>276</v>
      </c>
      <c r="U32" s="170">
        <f t="shared" si="22"/>
        <v>486</v>
      </c>
      <c r="V32" s="277">
        <f>'CarichiApparecchiature(NO PLOT)'!J34</f>
        <v>0</v>
      </c>
      <c r="W32" s="324">
        <v>0</v>
      </c>
      <c r="X32" s="416">
        <f t="shared" ref="X32" si="26">W32*$X$7</f>
        <v>0</v>
      </c>
      <c r="Y32" s="416">
        <f t="shared" ref="Y32" si="27">W32*$Y$7</f>
        <v>0</v>
      </c>
      <c r="Z32" s="128">
        <f>L32*$AC$14</f>
        <v>503.01000000000005</v>
      </c>
      <c r="AA32" s="128">
        <f t="shared" si="25"/>
        <v>989.01</v>
      </c>
      <c r="AB32" s="128">
        <f>L32*$AD$14</f>
        <v>721.71</v>
      </c>
    </row>
    <row r="33" spans="1:32">
      <c r="A33" s="124"/>
      <c r="B33" s="125"/>
      <c r="C33" s="122"/>
      <c r="D33" s="171"/>
      <c r="E33" s="122"/>
      <c r="F33" s="122"/>
      <c r="G33" s="122"/>
      <c r="H33" s="130"/>
      <c r="I33" s="130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303"/>
      <c r="V33" s="310"/>
      <c r="W33" s="122"/>
      <c r="X33" s="417"/>
      <c r="Y33" s="417"/>
      <c r="Z33" s="129"/>
      <c r="AA33" s="129"/>
      <c r="AB33" s="129"/>
      <c r="AC33" s="520"/>
      <c r="AD33" s="520"/>
      <c r="AE33" s="524"/>
      <c r="AF33" s="522"/>
    </row>
    <row r="34" spans="1:32" ht="39.6">
      <c r="A34" s="528" t="s">
        <v>503</v>
      </c>
      <c r="B34" s="323" t="s">
        <v>359</v>
      </c>
      <c r="C34" s="324" t="s">
        <v>436</v>
      </c>
      <c r="D34" s="325" t="s">
        <v>437</v>
      </c>
      <c r="E34" s="122"/>
      <c r="F34" s="324" t="s">
        <v>153</v>
      </c>
      <c r="G34" s="324" t="s">
        <v>154</v>
      </c>
      <c r="H34" s="328">
        <v>3</v>
      </c>
      <c r="I34" s="328">
        <v>3</v>
      </c>
      <c r="J34" s="326">
        <v>37.18</v>
      </c>
      <c r="K34" s="326">
        <v>2.7</v>
      </c>
      <c r="L34" s="127">
        <f>J34*K34</f>
        <v>100.38600000000001</v>
      </c>
      <c r="M34" s="327">
        <v>22</v>
      </c>
      <c r="N34" s="327" t="s">
        <v>317</v>
      </c>
      <c r="O34" s="327" t="s">
        <v>376</v>
      </c>
      <c r="P34" s="327" t="s">
        <v>276</v>
      </c>
      <c r="Q34" s="327">
        <v>22</v>
      </c>
      <c r="R34" s="327" t="s">
        <v>318</v>
      </c>
      <c r="S34" s="327" t="s">
        <v>376</v>
      </c>
      <c r="T34" s="327" t="s">
        <v>276</v>
      </c>
      <c r="U34" s="170">
        <f>J34*$U$7</f>
        <v>743.6</v>
      </c>
      <c r="V34" s="277">
        <f>'CarichiApparecchiature(NO PLOT)'!J25</f>
        <v>4500</v>
      </c>
      <c r="W34" s="324">
        <v>0</v>
      </c>
      <c r="X34" s="416">
        <f>W34*$X$7</f>
        <v>0</v>
      </c>
      <c r="Y34" s="416">
        <f>W34*$Y$7</f>
        <v>0</v>
      </c>
      <c r="Z34" s="128">
        <f>L34*$AC$14</f>
        <v>577.21950000000004</v>
      </c>
      <c r="AA34" s="128">
        <f>U34+V34+X34+Z34</f>
        <v>5820.8195000000005</v>
      </c>
      <c r="AB34" s="128">
        <f>L34*$AD$14</f>
        <v>828.18450000000007</v>
      </c>
      <c r="AC34" s="525"/>
      <c r="AD34" s="525"/>
      <c r="AE34" s="526"/>
      <c r="AF34" s="522"/>
    </row>
    <row r="35" spans="1:32" s="522" customFormat="1" ht="39.6">
      <c r="A35" s="528" t="s">
        <v>503</v>
      </c>
      <c r="B35" s="323" t="s">
        <v>359</v>
      </c>
      <c r="C35" s="324" t="s">
        <v>438</v>
      </c>
      <c r="D35" s="325" t="s">
        <v>439</v>
      </c>
      <c r="E35" s="122"/>
      <c r="F35" s="324" t="s">
        <v>153</v>
      </c>
      <c r="G35" s="324" t="s">
        <v>154</v>
      </c>
      <c r="H35" s="328">
        <v>3</v>
      </c>
      <c r="I35" s="328">
        <v>3</v>
      </c>
      <c r="J35" s="326">
        <v>18</v>
      </c>
      <c r="K35" s="326">
        <v>2.7</v>
      </c>
      <c r="L35" s="127">
        <f>J35*K35</f>
        <v>48.6</v>
      </c>
      <c r="M35" s="327">
        <v>22</v>
      </c>
      <c r="N35" s="327" t="s">
        <v>317</v>
      </c>
      <c r="O35" s="327" t="s">
        <v>376</v>
      </c>
      <c r="P35" s="327" t="s">
        <v>276</v>
      </c>
      <c r="Q35" s="327">
        <v>22</v>
      </c>
      <c r="R35" s="327" t="s">
        <v>318</v>
      </c>
      <c r="S35" s="327" t="s">
        <v>376</v>
      </c>
      <c r="T35" s="327" t="s">
        <v>276</v>
      </c>
      <c r="U35" s="170">
        <f>J35*$U$7</f>
        <v>360</v>
      </c>
      <c r="V35" s="277">
        <f>'CarichiApparecchiature(NO PLOT)'!J26</f>
        <v>900</v>
      </c>
      <c r="W35" s="324">
        <v>1</v>
      </c>
      <c r="X35" s="416">
        <f>W35*$X$7</f>
        <v>100</v>
      </c>
      <c r="Y35" s="416">
        <f>W35*$Y$7</f>
        <v>75</v>
      </c>
      <c r="Z35" s="128">
        <f>L35*$AC$22</f>
        <v>0</v>
      </c>
      <c r="AA35" s="128">
        <f>U35+V35+X35+Z35</f>
        <v>1360</v>
      </c>
      <c r="AB35" s="128">
        <f>L35*$AD$22</f>
        <v>0</v>
      </c>
      <c r="AC35" s="520"/>
      <c r="AD35" s="520"/>
      <c r="AE35" s="527"/>
    </row>
    <row r="36" spans="1:32" ht="39.6">
      <c r="A36" s="528" t="s">
        <v>503</v>
      </c>
      <c r="B36" s="323" t="s">
        <v>359</v>
      </c>
      <c r="C36" s="324" t="s">
        <v>461</v>
      </c>
      <c r="D36" s="325" t="s">
        <v>367</v>
      </c>
      <c r="E36" s="122"/>
      <c r="F36" s="324" t="s">
        <v>153</v>
      </c>
      <c r="G36" s="324" t="s">
        <v>154</v>
      </c>
      <c r="H36" s="328">
        <v>3</v>
      </c>
      <c r="I36" s="328">
        <v>3</v>
      </c>
      <c r="J36" s="326">
        <v>13</v>
      </c>
      <c r="K36" s="326">
        <v>2.7</v>
      </c>
      <c r="L36" s="127">
        <f>J36*K36</f>
        <v>35.1</v>
      </c>
      <c r="M36" s="327">
        <v>22</v>
      </c>
      <c r="N36" s="327" t="s">
        <v>317</v>
      </c>
      <c r="O36" s="327" t="s">
        <v>376</v>
      </c>
      <c r="P36" s="327" t="s">
        <v>276</v>
      </c>
      <c r="Q36" s="327">
        <v>22</v>
      </c>
      <c r="R36" s="327" t="s">
        <v>318</v>
      </c>
      <c r="S36" s="327" t="s">
        <v>376</v>
      </c>
      <c r="T36" s="327" t="s">
        <v>276</v>
      </c>
      <c r="U36" s="170">
        <f>J36*$U$7</f>
        <v>260</v>
      </c>
      <c r="V36" s="277">
        <f>'CarichiApparecchiature(NO PLOT)'!J27</f>
        <v>0</v>
      </c>
      <c r="W36" s="324">
        <v>0</v>
      </c>
      <c r="X36" s="416">
        <f>W36*$X$7</f>
        <v>0</v>
      </c>
      <c r="Y36" s="416">
        <f>W36*$Y$7</f>
        <v>0</v>
      </c>
      <c r="Z36" s="128">
        <f>L36*$AC$14</f>
        <v>201.82500000000002</v>
      </c>
      <c r="AA36" s="128">
        <f>U36+V36+X36+Z36</f>
        <v>461.82500000000005</v>
      </c>
      <c r="AB36" s="128">
        <f>L36*$AD$14</f>
        <v>289.57499999999999</v>
      </c>
      <c r="AC36" s="214"/>
      <c r="AD36" s="214"/>
      <c r="AE36" s="120"/>
    </row>
    <row r="37" spans="1:32" s="522" customFormat="1">
      <c r="A37" s="124"/>
      <c r="B37" s="125"/>
      <c r="C37" s="122"/>
      <c r="D37" s="171"/>
      <c r="E37" s="122"/>
      <c r="F37" s="122"/>
      <c r="G37" s="122"/>
      <c r="H37" s="130"/>
      <c r="I37" s="130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303"/>
      <c r="V37" s="310"/>
      <c r="W37" s="122"/>
      <c r="X37" s="417"/>
      <c r="Y37" s="417"/>
      <c r="Z37" s="129"/>
      <c r="AA37" s="129"/>
      <c r="AB37" s="129"/>
      <c r="AC37" s="520"/>
      <c r="AD37" s="520"/>
      <c r="AE37" s="521"/>
    </row>
    <row r="38" spans="1:32" ht="13.8">
      <c r="A38" s="322" t="s">
        <v>430</v>
      </c>
      <c r="B38" s="323" t="s">
        <v>531</v>
      </c>
      <c r="C38" s="324" t="s">
        <v>532</v>
      </c>
      <c r="D38" s="325" t="s">
        <v>533</v>
      </c>
      <c r="E38" s="122"/>
      <c r="F38" s="324" t="s">
        <v>153</v>
      </c>
      <c r="G38" s="324" t="s">
        <v>154</v>
      </c>
      <c r="H38" s="328">
        <v>0</v>
      </c>
      <c r="I38" s="328" t="s">
        <v>453</v>
      </c>
      <c r="J38" s="326">
        <v>27</v>
      </c>
      <c r="K38" s="326">
        <v>2.7</v>
      </c>
      <c r="L38" s="127">
        <f>J38*K38</f>
        <v>72.900000000000006</v>
      </c>
      <c r="M38" s="327">
        <v>22</v>
      </c>
      <c r="N38" s="327" t="s">
        <v>282</v>
      </c>
      <c r="O38" s="327" t="s">
        <v>376</v>
      </c>
      <c r="P38" s="327" t="s">
        <v>276</v>
      </c>
      <c r="Q38" s="327">
        <v>22</v>
      </c>
      <c r="R38" s="327" t="s">
        <v>282</v>
      </c>
      <c r="S38" s="327" t="s">
        <v>376</v>
      </c>
      <c r="T38" s="327" t="s">
        <v>276</v>
      </c>
      <c r="U38" s="170">
        <f>J38*$U$7</f>
        <v>540</v>
      </c>
      <c r="V38" s="277">
        <f>'CarichiApparecchiature(NO PLOT)'!J21</f>
        <v>6100</v>
      </c>
      <c r="W38" s="324">
        <v>0</v>
      </c>
      <c r="X38" s="416">
        <f t="shared" ref="X38" si="28">W38*$X$7</f>
        <v>0</v>
      </c>
      <c r="Y38" s="416">
        <f t="shared" ref="Y38" si="29">W38*$Y$7</f>
        <v>0</v>
      </c>
      <c r="Z38" s="128">
        <f>L38*$AC$7</f>
        <v>838.35</v>
      </c>
      <c r="AA38" s="128">
        <f t="shared" ref="AA38" si="30">U38+V38+X38+Z38</f>
        <v>7478.35</v>
      </c>
      <c r="AB38" s="128">
        <f>L38*$AD$7</f>
        <v>1202.8500000000001</v>
      </c>
      <c r="AC38" s="214"/>
      <c r="AD38" s="214"/>
      <c r="AE38" s="120"/>
    </row>
    <row r="39" spans="1:32" s="522" customFormat="1">
      <c r="A39" s="124"/>
      <c r="B39" s="125"/>
      <c r="C39" s="122"/>
      <c r="D39" s="171"/>
      <c r="E39" s="122"/>
      <c r="F39" s="122"/>
      <c r="G39" s="122"/>
      <c r="H39" s="130"/>
      <c r="I39" s="130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303"/>
      <c r="V39" s="310"/>
      <c r="W39" s="122"/>
      <c r="X39" s="417"/>
      <c r="Y39" s="417"/>
      <c r="Z39" s="129"/>
      <c r="AA39" s="129"/>
      <c r="AB39" s="129"/>
      <c r="AC39" s="520"/>
      <c r="AD39" s="520"/>
      <c r="AE39" s="521"/>
    </row>
    <row r="40" spans="1:32" ht="30.6" customHeight="1">
      <c r="A40" s="581" t="s">
        <v>30</v>
      </c>
      <c r="B40" s="660"/>
      <c r="C40" s="689" t="s">
        <v>416</v>
      </c>
      <c r="D40" s="673"/>
      <c r="E40" s="614" t="s">
        <v>405</v>
      </c>
      <c r="F40" s="590"/>
      <c r="G40" s="590"/>
      <c r="H40" s="590"/>
      <c r="I40" s="590"/>
      <c r="J40" s="590"/>
      <c r="K40" s="590"/>
      <c r="L40" s="590"/>
      <c r="M40" s="619"/>
      <c r="N40" s="672"/>
      <c r="O40" s="672"/>
      <c r="P40" s="672"/>
      <c r="Q40" s="672"/>
      <c r="R40" s="672"/>
      <c r="S40" s="672"/>
      <c r="T40" s="673"/>
      <c r="U40" s="590"/>
      <c r="V40" s="590"/>
      <c r="W40" s="590"/>
      <c r="X40" s="590"/>
      <c r="Y40" s="590"/>
      <c r="Z40" s="590"/>
      <c r="AA40" s="590"/>
      <c r="AB40" s="590"/>
    </row>
    <row r="41" spans="1:32" ht="30.6" customHeight="1" thickBot="1">
      <c r="A41" s="581"/>
      <c r="B41" s="660"/>
      <c r="C41" s="695"/>
      <c r="D41" s="696"/>
      <c r="E41" s="615"/>
      <c r="F41" s="590"/>
      <c r="G41" s="590"/>
      <c r="H41" s="590"/>
      <c r="I41" s="590"/>
      <c r="J41" s="590"/>
      <c r="K41" s="590"/>
      <c r="L41" s="590"/>
      <c r="M41" s="674"/>
      <c r="N41" s="675"/>
      <c r="O41" s="675"/>
      <c r="P41" s="675"/>
      <c r="Q41" s="675"/>
      <c r="R41" s="675"/>
      <c r="S41" s="675"/>
      <c r="T41" s="676"/>
      <c r="U41" s="590"/>
      <c r="V41" s="590"/>
      <c r="W41" s="590"/>
      <c r="X41" s="590"/>
      <c r="Y41" s="590"/>
      <c r="Z41" s="590"/>
      <c r="AA41" s="590"/>
      <c r="AB41" s="590"/>
    </row>
    <row r="42" spans="1:32">
      <c r="I42" s="46"/>
      <c r="J42" s="47"/>
      <c r="K42" s="46"/>
      <c r="L42" s="47"/>
      <c r="M42" s="603" t="s">
        <v>93</v>
      </c>
      <c r="N42" s="604"/>
      <c r="O42" s="604"/>
      <c r="P42" s="605"/>
      <c r="Q42" s="603" t="s">
        <v>94</v>
      </c>
      <c r="R42" s="604"/>
      <c r="S42" s="604"/>
      <c r="T42" s="605"/>
      <c r="Z42" s="48"/>
    </row>
    <row r="43" spans="1:32">
      <c r="B43" s="49"/>
      <c r="I43" s="95"/>
      <c r="J43" s="96"/>
      <c r="K43" s="95"/>
      <c r="M43" s="606"/>
      <c r="N43" s="607"/>
      <c r="O43" s="607"/>
      <c r="P43" s="608"/>
      <c r="Q43" s="606"/>
      <c r="R43" s="607"/>
      <c r="S43" s="607"/>
      <c r="T43" s="608"/>
      <c r="Y43" s="47"/>
      <c r="AA43" s="47"/>
      <c r="AB43" s="47"/>
    </row>
    <row r="44" spans="1:32">
      <c r="A44" s="51"/>
      <c r="B44" s="653" t="s">
        <v>123</v>
      </c>
      <c r="C44" s="654"/>
      <c r="D44" s="654"/>
      <c r="I44" s="95"/>
      <c r="J44" s="96"/>
      <c r="K44" s="95"/>
      <c r="M44" s="41" t="s">
        <v>87</v>
      </c>
      <c r="N44" s="42" t="s">
        <v>88</v>
      </c>
      <c r="O44" s="42" t="s">
        <v>89</v>
      </c>
      <c r="P44" s="43" t="s">
        <v>88</v>
      </c>
      <c r="Q44" s="41" t="s">
        <v>87</v>
      </c>
      <c r="R44" s="42" t="s">
        <v>88</v>
      </c>
      <c r="S44" s="42" t="s">
        <v>89</v>
      </c>
      <c r="T44" s="43" t="s">
        <v>88</v>
      </c>
      <c r="Z44" s="47"/>
    </row>
    <row r="45" spans="1:32" ht="13.8" thickBot="1">
      <c r="B45" s="52"/>
      <c r="C45" s="52"/>
      <c r="D45" s="52"/>
      <c r="I45" s="95"/>
      <c r="J45" s="96"/>
      <c r="K45" s="95"/>
      <c r="M45" s="644" t="s">
        <v>3</v>
      </c>
      <c r="N45" s="645"/>
      <c r="O45" s="645" t="s">
        <v>90</v>
      </c>
      <c r="P45" s="646"/>
      <c r="Q45" s="644" t="s">
        <v>3</v>
      </c>
      <c r="R45" s="645"/>
      <c r="S45" s="645" t="s">
        <v>90</v>
      </c>
      <c r="T45" s="646"/>
    </row>
    <row r="46" spans="1:32">
      <c r="A46" s="53"/>
      <c r="B46" s="653" t="s">
        <v>27</v>
      </c>
      <c r="C46" s="654"/>
      <c r="D46" s="654"/>
      <c r="I46" s="50"/>
      <c r="K46" s="95"/>
      <c r="M46" s="101">
        <v>36</v>
      </c>
      <c r="N46" s="102" t="s">
        <v>95</v>
      </c>
      <c r="O46" s="101">
        <v>60</v>
      </c>
      <c r="P46" s="102" t="s">
        <v>95</v>
      </c>
      <c r="Q46" s="101">
        <v>-5</v>
      </c>
      <c r="R46" s="102" t="s">
        <v>95</v>
      </c>
      <c r="S46" s="101">
        <v>80</v>
      </c>
      <c r="T46" s="102" t="s">
        <v>95</v>
      </c>
    </row>
    <row r="47" spans="1:32" ht="12.75" customHeight="1">
      <c r="B47" s="52"/>
      <c r="C47" s="52"/>
      <c r="D47" s="52"/>
      <c r="K47" s="95"/>
    </row>
    <row r="48" spans="1:32">
      <c r="A48" s="54"/>
      <c r="B48" s="653" t="s">
        <v>28</v>
      </c>
      <c r="C48" s="654"/>
      <c r="D48" s="654"/>
      <c r="K48" s="95"/>
    </row>
    <row r="49" spans="1:28">
      <c r="B49" s="49"/>
    </row>
    <row r="50" spans="1:28" ht="13.8" thickBot="1">
      <c r="C50" s="49"/>
    </row>
    <row r="51" spans="1:28" ht="25.2" thickBot="1">
      <c r="A51" s="647" t="s">
        <v>83</v>
      </c>
      <c r="B51" s="648"/>
      <c r="C51" s="648"/>
      <c r="D51" s="648"/>
      <c r="E51" s="648"/>
      <c r="F51" s="648"/>
      <c r="G51" s="648"/>
      <c r="H51" s="648"/>
      <c r="I51" s="648"/>
      <c r="J51" s="648"/>
      <c r="K51" s="648"/>
      <c r="L51" s="648"/>
      <c r="M51" s="648"/>
      <c r="N51" s="648"/>
      <c r="O51" s="648"/>
      <c r="P51" s="648"/>
      <c r="Q51" s="648"/>
      <c r="R51" s="648"/>
      <c r="S51" s="648"/>
      <c r="T51" s="648"/>
      <c r="U51" s="648"/>
      <c r="V51" s="649"/>
      <c r="W51" s="55"/>
      <c r="X51" s="55"/>
      <c r="Y51" s="55"/>
      <c r="Z51" s="55"/>
      <c r="AA51" s="55"/>
      <c r="AB51" s="55"/>
    </row>
    <row r="52" spans="1:28" ht="13.8" thickBot="1">
      <c r="C52" s="49"/>
    </row>
    <row r="53" spans="1:28">
      <c r="A53" s="593" t="s">
        <v>84</v>
      </c>
      <c r="B53" s="594"/>
      <c r="C53" s="593" t="s">
        <v>29</v>
      </c>
      <c r="D53" s="640"/>
      <c r="E53" s="661" t="s">
        <v>118</v>
      </c>
      <c r="F53" s="682" t="s">
        <v>104</v>
      </c>
      <c r="G53" s="682"/>
      <c r="H53" s="683"/>
      <c r="I53" s="681" t="s">
        <v>108</v>
      </c>
      <c r="J53" s="682"/>
      <c r="K53" s="682"/>
      <c r="L53" s="683"/>
      <c r="M53" s="661" t="s">
        <v>111</v>
      </c>
      <c r="N53" s="664" t="s">
        <v>112</v>
      </c>
      <c r="O53" s="665"/>
      <c r="P53" s="639" t="s">
        <v>310</v>
      </c>
      <c r="Q53" s="640"/>
      <c r="R53" s="640"/>
      <c r="S53" s="640"/>
      <c r="T53" s="594"/>
      <c r="U53" s="650" t="s">
        <v>119</v>
      </c>
      <c r="V53" s="650" t="s">
        <v>125</v>
      </c>
    </row>
    <row r="54" spans="1:28">
      <c r="A54" s="595"/>
      <c r="B54" s="596"/>
      <c r="C54" s="595"/>
      <c r="D54" s="641"/>
      <c r="E54" s="662"/>
      <c r="F54" s="684" t="s">
        <v>103</v>
      </c>
      <c r="G54" s="602" t="s">
        <v>107</v>
      </c>
      <c r="H54" s="617" t="s">
        <v>106</v>
      </c>
      <c r="I54" s="582" t="s">
        <v>109</v>
      </c>
      <c r="J54" s="583"/>
      <c r="K54" s="609" t="s">
        <v>122</v>
      </c>
      <c r="L54" s="610"/>
      <c r="M54" s="662"/>
      <c r="N54" s="637" t="s">
        <v>113</v>
      </c>
      <c r="O54" s="643" t="s">
        <v>124</v>
      </c>
      <c r="P54" s="595"/>
      <c r="Q54" s="641"/>
      <c r="R54" s="641"/>
      <c r="S54" s="641"/>
      <c r="T54" s="596"/>
      <c r="U54" s="651"/>
      <c r="V54" s="651"/>
    </row>
    <row r="55" spans="1:28">
      <c r="A55" s="597"/>
      <c r="B55" s="598"/>
      <c r="C55" s="597"/>
      <c r="D55" s="642"/>
      <c r="E55" s="662"/>
      <c r="F55" s="685"/>
      <c r="G55" s="602"/>
      <c r="H55" s="687"/>
      <c r="I55" s="597"/>
      <c r="J55" s="688"/>
      <c r="K55" s="629"/>
      <c r="L55" s="598"/>
      <c r="M55" s="662"/>
      <c r="N55" s="638"/>
      <c r="O55" s="629"/>
      <c r="P55" s="597"/>
      <c r="Q55" s="642"/>
      <c r="R55" s="642"/>
      <c r="S55" s="642"/>
      <c r="T55" s="598"/>
      <c r="U55" s="652"/>
      <c r="V55" s="652"/>
    </row>
    <row r="56" spans="1:28" ht="26.4">
      <c r="A56" s="438" t="s">
        <v>85</v>
      </c>
      <c r="B56" s="440" t="s">
        <v>121</v>
      </c>
      <c r="C56" s="438" t="s">
        <v>85</v>
      </c>
      <c r="D56" s="436" t="s">
        <v>8</v>
      </c>
      <c r="E56" s="498" t="s">
        <v>126</v>
      </c>
      <c r="F56" s="685"/>
      <c r="G56" s="613"/>
      <c r="H56" s="591"/>
      <c r="I56" s="438" t="s">
        <v>105</v>
      </c>
      <c r="J56" s="439" t="s">
        <v>110</v>
      </c>
      <c r="K56" s="439" t="s">
        <v>105</v>
      </c>
      <c r="L56" s="440" t="s">
        <v>110</v>
      </c>
      <c r="M56" s="663"/>
      <c r="N56" s="437" t="s">
        <v>114</v>
      </c>
      <c r="O56" s="436" t="s">
        <v>114</v>
      </c>
      <c r="P56" s="437" t="s">
        <v>115</v>
      </c>
      <c r="Q56" s="439" t="s">
        <v>87</v>
      </c>
      <c r="R56" s="439" t="s">
        <v>89</v>
      </c>
      <c r="S56" s="499" t="s">
        <v>116</v>
      </c>
      <c r="T56" s="500" t="s">
        <v>117</v>
      </c>
      <c r="U56" s="498" t="s">
        <v>120</v>
      </c>
      <c r="V56" s="498" t="s">
        <v>120</v>
      </c>
    </row>
    <row r="57" spans="1:28" ht="13.8">
      <c r="A57" s="501" t="str">
        <f>A8</f>
        <v>AH-102-01</v>
      </c>
      <c r="B57" s="502" t="str">
        <f>B8</f>
        <v>LINK CORRIDOR P0</v>
      </c>
      <c r="C57" s="501" t="str">
        <f>C8</f>
        <v>E001</v>
      </c>
      <c r="D57" s="502" t="str">
        <f>D8</f>
        <v>MATERIAL RECEIVING LINK CORRIDOR</v>
      </c>
      <c r="E57" s="501" t="str">
        <f>F8</f>
        <v>NC</v>
      </c>
      <c r="F57" s="458">
        <f>PortateAria!AG13</f>
        <v>0.12820512820512819</v>
      </c>
      <c r="G57" s="324" t="s">
        <v>275</v>
      </c>
      <c r="H57" s="540" t="s">
        <v>276</v>
      </c>
      <c r="I57" s="459" t="s">
        <v>308</v>
      </c>
      <c r="J57" s="324" t="s">
        <v>161</v>
      </c>
      <c r="K57" s="459" t="s">
        <v>426</v>
      </c>
      <c r="L57" s="324" t="s">
        <v>161</v>
      </c>
      <c r="M57" s="503" t="s">
        <v>152</v>
      </c>
      <c r="N57" s="503" t="s">
        <v>169</v>
      </c>
      <c r="O57" s="503" t="s">
        <v>169</v>
      </c>
      <c r="P57" s="504" t="s">
        <v>95</v>
      </c>
      <c r="Q57" s="503" t="s">
        <v>270</v>
      </c>
      <c r="R57" s="503" t="s">
        <v>270</v>
      </c>
      <c r="S57" s="504" t="s">
        <v>95</v>
      </c>
      <c r="T57" s="504" t="s">
        <v>95</v>
      </c>
      <c r="U57" s="505" t="s">
        <v>162</v>
      </c>
      <c r="V57" s="505" t="s">
        <v>162</v>
      </c>
    </row>
    <row r="58" spans="1:28" s="430" customFormat="1">
      <c r="A58" s="506"/>
      <c r="B58" s="507"/>
      <c r="C58" s="506"/>
      <c r="D58" s="507"/>
      <c r="E58" s="506"/>
      <c r="F58" s="315"/>
      <c r="G58" s="122"/>
      <c r="H58" s="122"/>
      <c r="I58" s="131"/>
      <c r="J58" s="122"/>
      <c r="K58" s="131"/>
      <c r="L58" s="122"/>
      <c r="M58" s="366"/>
      <c r="N58" s="366"/>
      <c r="O58" s="366"/>
      <c r="P58" s="508"/>
      <c r="Q58" s="508"/>
      <c r="R58" s="508"/>
      <c r="S58" s="508"/>
      <c r="T58" s="508"/>
      <c r="U58" s="509"/>
      <c r="V58" s="509"/>
      <c r="W58" s="39"/>
      <c r="X58" s="39"/>
      <c r="Y58" s="39"/>
      <c r="Z58" s="39"/>
      <c r="AA58" s="39"/>
      <c r="AB58" s="39"/>
    </row>
    <row r="59" spans="1:28" s="430" customFormat="1" ht="26.4">
      <c r="A59" s="501" t="str">
        <f t="shared" ref="A59:D67" si="31">A10</f>
        <v>AH-103-01</v>
      </c>
      <c r="B59" s="502" t="str">
        <f t="shared" si="31"/>
        <v>MAGAZZINO BASSO P0</v>
      </c>
      <c r="C59" s="501" t="str">
        <f t="shared" si="31"/>
        <v>A001</v>
      </c>
      <c r="D59" s="502" t="str">
        <f t="shared" si="31"/>
        <v>ENTRANCE</v>
      </c>
      <c r="E59" s="501" t="str">
        <f t="shared" ref="E59:E67" si="32">F10</f>
        <v>NC</v>
      </c>
      <c r="F59" s="458">
        <f>PortateAria!$AG$36</f>
        <v>0.13375796178343949</v>
      </c>
      <c r="G59" s="324" t="s">
        <v>275</v>
      </c>
      <c r="H59" s="540" t="s">
        <v>276</v>
      </c>
      <c r="I59" s="459" t="s">
        <v>428</v>
      </c>
      <c r="J59" s="324" t="s">
        <v>427</v>
      </c>
      <c r="K59" s="459" t="s">
        <v>536</v>
      </c>
      <c r="L59" s="324" t="s">
        <v>539</v>
      </c>
      <c r="M59" s="503" t="s">
        <v>152</v>
      </c>
      <c r="N59" s="503" t="s">
        <v>169</v>
      </c>
      <c r="O59" s="503" t="s">
        <v>169</v>
      </c>
      <c r="P59" s="504" t="s">
        <v>95</v>
      </c>
      <c r="Q59" s="504" t="s">
        <v>95</v>
      </c>
      <c r="R59" s="504" t="s">
        <v>95</v>
      </c>
      <c r="S59" s="504" t="s">
        <v>95</v>
      </c>
      <c r="T59" s="504" t="s">
        <v>95</v>
      </c>
      <c r="U59" s="505" t="s">
        <v>162</v>
      </c>
      <c r="V59" s="505" t="s">
        <v>162</v>
      </c>
      <c r="W59" s="39"/>
      <c r="X59" s="39"/>
      <c r="Y59" s="39"/>
      <c r="Z59" s="39"/>
      <c r="AA59" s="39"/>
      <c r="AB59" s="39"/>
    </row>
    <row r="60" spans="1:28" s="430" customFormat="1" ht="26.4">
      <c r="A60" s="501" t="str">
        <f t="shared" si="31"/>
        <v>AH-103-01</v>
      </c>
      <c r="B60" s="502" t="str">
        <f t="shared" si="31"/>
        <v>MAGAZZINO BASSO P0</v>
      </c>
      <c r="C60" s="501" t="str">
        <f t="shared" si="31"/>
        <v>A002</v>
      </c>
      <c r="D60" s="502" t="str">
        <f t="shared" si="31"/>
        <v>HANDLING AREA</v>
      </c>
      <c r="E60" s="501" t="str">
        <f t="shared" si="32"/>
        <v>NC</v>
      </c>
      <c r="F60" s="458">
        <f>PortateAria!$AG$36</f>
        <v>0.13375796178343949</v>
      </c>
      <c r="G60" s="324" t="s">
        <v>275</v>
      </c>
      <c r="H60" s="540" t="s">
        <v>276</v>
      </c>
      <c r="I60" s="459" t="s">
        <v>428</v>
      </c>
      <c r="J60" s="324" t="s">
        <v>427</v>
      </c>
      <c r="K60" s="459" t="s">
        <v>541</v>
      </c>
      <c r="L60" s="324" t="s">
        <v>427</v>
      </c>
      <c r="M60" s="503" t="s">
        <v>152</v>
      </c>
      <c r="N60" s="503" t="s">
        <v>169</v>
      </c>
      <c r="O60" s="503" t="s">
        <v>169</v>
      </c>
      <c r="P60" s="504" t="s">
        <v>95</v>
      </c>
      <c r="Q60" s="503" t="s">
        <v>270</v>
      </c>
      <c r="R60" s="503" t="s">
        <v>270</v>
      </c>
      <c r="S60" s="504" t="s">
        <v>95</v>
      </c>
      <c r="T60" s="504" t="s">
        <v>95</v>
      </c>
      <c r="U60" s="505" t="s">
        <v>162</v>
      </c>
      <c r="V60" s="505" t="s">
        <v>162</v>
      </c>
      <c r="W60" s="39"/>
      <c r="X60" s="39"/>
      <c r="Y60" s="39"/>
      <c r="Z60" s="39"/>
      <c r="AA60" s="39"/>
      <c r="AB60" s="39"/>
    </row>
    <row r="61" spans="1:28" ht="13.8">
      <c r="A61" s="501" t="str">
        <f t="shared" si="31"/>
        <v>AH-103-01</v>
      </c>
      <c r="B61" s="502" t="str">
        <f t="shared" si="31"/>
        <v>MAGAZZINO BASSO P1</v>
      </c>
      <c r="C61" s="501" t="str">
        <f t="shared" si="31"/>
        <v>A101</v>
      </c>
      <c r="D61" s="502" t="str">
        <f t="shared" si="31"/>
        <v>FILTER AGAINST FIRE</v>
      </c>
      <c r="E61" s="501" t="str">
        <f t="shared" si="32"/>
        <v>NC</v>
      </c>
      <c r="F61" s="458">
        <f>PortateAria!$AG$36</f>
        <v>0.13375796178343949</v>
      </c>
      <c r="G61" s="324" t="s">
        <v>275</v>
      </c>
      <c r="H61" s="540" t="s">
        <v>276</v>
      </c>
      <c r="I61" s="459" t="s">
        <v>308</v>
      </c>
      <c r="J61" s="324" t="s">
        <v>161</v>
      </c>
      <c r="K61" s="459" t="s">
        <v>541</v>
      </c>
      <c r="L61" s="324" t="s">
        <v>161</v>
      </c>
      <c r="M61" s="503" t="s">
        <v>152</v>
      </c>
      <c r="N61" s="503" t="s">
        <v>169</v>
      </c>
      <c r="O61" s="503" t="s">
        <v>169</v>
      </c>
      <c r="P61" s="504" t="s">
        <v>95</v>
      </c>
      <c r="Q61" s="504" t="s">
        <v>95</v>
      </c>
      <c r="R61" s="504" t="s">
        <v>95</v>
      </c>
      <c r="S61" s="504" t="s">
        <v>95</v>
      </c>
      <c r="T61" s="504" t="s">
        <v>95</v>
      </c>
      <c r="U61" s="505" t="s">
        <v>162</v>
      </c>
      <c r="V61" s="505" t="s">
        <v>162</v>
      </c>
    </row>
    <row r="62" spans="1:28" ht="13.8">
      <c r="A62" s="501" t="str">
        <f t="shared" si="31"/>
        <v>AH-103-01</v>
      </c>
      <c r="B62" s="502" t="str">
        <f t="shared" si="31"/>
        <v>MAGAZZINO BASSO P1</v>
      </c>
      <c r="C62" s="501" t="str">
        <f t="shared" si="31"/>
        <v>A102</v>
      </c>
      <c r="D62" s="502" t="str">
        <f t="shared" si="31"/>
        <v>AIRLOCK VT</v>
      </c>
      <c r="E62" s="501" t="str">
        <f t="shared" si="32"/>
        <v>NC</v>
      </c>
      <c r="F62" s="458">
        <f>PortateAria!$AG$36</f>
        <v>0.13375796178343949</v>
      </c>
      <c r="G62" s="324" t="s">
        <v>275</v>
      </c>
      <c r="H62" s="540" t="s">
        <v>276</v>
      </c>
      <c r="I62" s="459" t="s">
        <v>308</v>
      </c>
      <c r="J62" s="324" t="s">
        <v>161</v>
      </c>
      <c r="K62" s="459" t="s">
        <v>541</v>
      </c>
      <c r="L62" s="324" t="s">
        <v>161</v>
      </c>
      <c r="M62" s="503" t="s">
        <v>152</v>
      </c>
      <c r="N62" s="503" t="s">
        <v>169</v>
      </c>
      <c r="O62" s="503" t="s">
        <v>169</v>
      </c>
      <c r="P62" s="504" t="s">
        <v>95</v>
      </c>
      <c r="Q62" s="504" t="s">
        <v>95</v>
      </c>
      <c r="R62" s="504" t="s">
        <v>95</v>
      </c>
      <c r="S62" s="504" t="s">
        <v>95</v>
      </c>
      <c r="T62" s="504" t="s">
        <v>95</v>
      </c>
      <c r="U62" s="505" t="s">
        <v>162</v>
      </c>
      <c r="V62" s="505" t="s">
        <v>162</v>
      </c>
    </row>
    <row r="63" spans="1:28" ht="13.8">
      <c r="A63" s="501" t="str">
        <f t="shared" si="31"/>
        <v>AH-103-01</v>
      </c>
      <c r="B63" s="502" t="str">
        <f t="shared" si="31"/>
        <v>MAGAZZINO BASSO P1</v>
      </c>
      <c r="C63" s="501" t="str">
        <f t="shared" si="31"/>
        <v>A103</v>
      </c>
      <c r="D63" s="502" t="str">
        <f t="shared" si="31"/>
        <v>CORRIDOR</v>
      </c>
      <c r="E63" s="501" t="str">
        <f t="shared" si="32"/>
        <v>NC</v>
      </c>
      <c r="F63" s="458">
        <f>PortateAria!$AG$36</f>
        <v>0.13375796178343949</v>
      </c>
      <c r="G63" s="324" t="s">
        <v>275</v>
      </c>
      <c r="H63" s="540" t="s">
        <v>276</v>
      </c>
      <c r="I63" s="459" t="s">
        <v>308</v>
      </c>
      <c r="J63" s="324" t="s">
        <v>161</v>
      </c>
      <c r="K63" s="459" t="s">
        <v>541</v>
      </c>
      <c r="L63" s="324" t="s">
        <v>161</v>
      </c>
      <c r="M63" s="503" t="s">
        <v>152</v>
      </c>
      <c r="N63" s="503" t="s">
        <v>169</v>
      </c>
      <c r="O63" s="503" t="s">
        <v>169</v>
      </c>
      <c r="P63" s="504" t="s">
        <v>95</v>
      </c>
      <c r="Q63" s="504" t="s">
        <v>95</v>
      </c>
      <c r="R63" s="504" t="s">
        <v>95</v>
      </c>
      <c r="S63" s="504" t="s">
        <v>95</v>
      </c>
      <c r="T63" s="504" t="s">
        <v>95</v>
      </c>
      <c r="U63" s="505" t="s">
        <v>162</v>
      </c>
      <c r="V63" s="505" t="s">
        <v>162</v>
      </c>
    </row>
    <row r="64" spans="1:28" ht="39.6">
      <c r="A64" s="510" t="str">
        <f t="shared" si="31"/>
        <v>AH-103-1 + FC-103-01 (2)</v>
      </c>
      <c r="B64" s="511" t="str">
        <f t="shared" si="31"/>
        <v>REVAMPING P0</v>
      </c>
      <c r="C64" s="510" t="str">
        <f t="shared" si="31"/>
        <v>0428</v>
      </c>
      <c r="D64" s="511" t="str">
        <f t="shared" si="31"/>
        <v>PREDISPOSITION TO DS</v>
      </c>
      <c r="E64" s="510" t="str">
        <f t="shared" si="32"/>
        <v>NC</v>
      </c>
      <c r="F64" s="458">
        <f>PortateAria!$AG$36</f>
        <v>0.13375796178343949</v>
      </c>
      <c r="G64" s="324" t="s">
        <v>275</v>
      </c>
      <c r="H64" s="540" t="s">
        <v>276</v>
      </c>
      <c r="I64" s="459" t="s">
        <v>308</v>
      </c>
      <c r="J64" s="324" t="s">
        <v>161</v>
      </c>
      <c r="K64" s="459" t="s">
        <v>426</v>
      </c>
      <c r="L64" s="324" t="s">
        <v>161</v>
      </c>
      <c r="M64" s="503" t="s">
        <v>152</v>
      </c>
      <c r="N64" s="503" t="s">
        <v>169</v>
      </c>
      <c r="O64" s="503" t="s">
        <v>169</v>
      </c>
      <c r="P64" s="504" t="s">
        <v>95</v>
      </c>
      <c r="Q64" s="503" t="s">
        <v>270</v>
      </c>
      <c r="R64" s="503" t="s">
        <v>270</v>
      </c>
      <c r="S64" s="504" t="s">
        <v>95</v>
      </c>
      <c r="T64" s="504" t="s">
        <v>95</v>
      </c>
      <c r="U64" s="505" t="s">
        <v>162</v>
      </c>
      <c r="V64" s="505" t="s">
        <v>162</v>
      </c>
    </row>
    <row r="65" spans="1:28" ht="26.4">
      <c r="A65" s="512" t="str">
        <f t="shared" si="31"/>
        <v>AH-103-1 (4)</v>
      </c>
      <c r="B65" s="443" t="str">
        <f t="shared" si="31"/>
        <v>REVAMPING P0 - PREDISPOSIZIONE</v>
      </c>
      <c r="C65" s="512" t="str">
        <f t="shared" si="31"/>
        <v>0437</v>
      </c>
      <c r="D65" s="443" t="str">
        <f t="shared" si="31"/>
        <v>REVAMPING SAMPLING ON LINE (FUTURO)</v>
      </c>
      <c r="E65" s="512" t="str">
        <f t="shared" si="32"/>
        <v>NC</v>
      </c>
      <c r="F65" s="461" t="s">
        <v>276</v>
      </c>
      <c r="G65" s="461" t="s">
        <v>276</v>
      </c>
      <c r="H65" s="461" t="s">
        <v>276</v>
      </c>
      <c r="I65" s="461" t="s">
        <v>276</v>
      </c>
      <c r="J65" s="461" t="s">
        <v>276</v>
      </c>
      <c r="K65" s="461" t="s">
        <v>276</v>
      </c>
      <c r="L65" s="461" t="s">
        <v>276</v>
      </c>
      <c r="M65" s="461" t="s">
        <v>276</v>
      </c>
      <c r="N65" s="461" t="s">
        <v>276</v>
      </c>
      <c r="O65" s="461" t="s">
        <v>276</v>
      </c>
      <c r="P65" s="432" t="s">
        <v>95</v>
      </c>
      <c r="Q65" s="432" t="s">
        <v>95</v>
      </c>
      <c r="R65" s="432" t="s">
        <v>95</v>
      </c>
      <c r="S65" s="432" t="s">
        <v>95</v>
      </c>
      <c r="T65" s="432" t="s">
        <v>95</v>
      </c>
      <c r="U65" s="513" t="s">
        <v>162</v>
      </c>
      <c r="V65" s="513" t="s">
        <v>162</v>
      </c>
      <c r="W65" s="430"/>
      <c r="X65" s="430"/>
      <c r="Y65" s="430"/>
      <c r="Z65" s="430"/>
      <c r="AA65" s="430"/>
      <c r="AB65" s="430"/>
    </row>
    <row r="66" spans="1:28" ht="26.4">
      <c r="A66" s="512" t="str">
        <f t="shared" si="31"/>
        <v>AH-103-1 (4)</v>
      </c>
      <c r="B66" s="443" t="str">
        <f t="shared" si="31"/>
        <v>REVAMPING P1 - PREDISPOSIZIONE</v>
      </c>
      <c r="C66" s="512" t="str">
        <f t="shared" si="31"/>
        <v>1278</v>
      </c>
      <c r="D66" s="443" t="str">
        <f t="shared" si="31"/>
        <v>REVAMPING PASSAGEWAY (FUTURO)</v>
      </c>
      <c r="E66" s="512" t="str">
        <f t="shared" si="32"/>
        <v>NC</v>
      </c>
      <c r="F66" s="461" t="s">
        <v>276</v>
      </c>
      <c r="G66" s="461" t="s">
        <v>276</v>
      </c>
      <c r="H66" s="461" t="s">
        <v>276</v>
      </c>
      <c r="I66" s="461" t="s">
        <v>276</v>
      </c>
      <c r="J66" s="461" t="s">
        <v>276</v>
      </c>
      <c r="K66" s="461" t="s">
        <v>276</v>
      </c>
      <c r="L66" s="461" t="s">
        <v>276</v>
      </c>
      <c r="M66" s="461" t="s">
        <v>276</v>
      </c>
      <c r="N66" s="461" t="s">
        <v>276</v>
      </c>
      <c r="O66" s="461" t="s">
        <v>276</v>
      </c>
      <c r="P66" s="432" t="s">
        <v>95</v>
      </c>
      <c r="Q66" s="432" t="s">
        <v>95</v>
      </c>
      <c r="R66" s="432" t="s">
        <v>95</v>
      </c>
      <c r="S66" s="432" t="s">
        <v>95</v>
      </c>
      <c r="T66" s="432" t="s">
        <v>95</v>
      </c>
      <c r="U66" s="513" t="s">
        <v>162</v>
      </c>
      <c r="V66" s="513" t="s">
        <v>162</v>
      </c>
      <c r="W66" s="430"/>
      <c r="X66" s="430"/>
      <c r="Y66" s="430"/>
      <c r="Z66" s="430"/>
      <c r="AA66" s="430"/>
      <c r="AB66" s="430"/>
    </row>
    <row r="67" spans="1:28" ht="26.4">
      <c r="A67" s="512" t="str">
        <f t="shared" si="31"/>
        <v>AH-103-1 (4)</v>
      </c>
      <c r="B67" s="443" t="str">
        <f t="shared" si="31"/>
        <v>REVAMPING P1 - PREDISPOSIZIONE</v>
      </c>
      <c r="C67" s="512" t="str">
        <f t="shared" si="31"/>
        <v>1373</v>
      </c>
      <c r="D67" s="443" t="str">
        <f t="shared" si="31"/>
        <v>REVAMPING CALIBRATION AREA (FUTURO)</v>
      </c>
      <c r="E67" s="512" t="str">
        <f t="shared" si="32"/>
        <v>NC</v>
      </c>
      <c r="F67" s="461" t="s">
        <v>276</v>
      </c>
      <c r="G67" s="461" t="s">
        <v>276</v>
      </c>
      <c r="H67" s="461" t="s">
        <v>276</v>
      </c>
      <c r="I67" s="461" t="s">
        <v>276</v>
      </c>
      <c r="J67" s="461" t="s">
        <v>276</v>
      </c>
      <c r="K67" s="461" t="s">
        <v>276</v>
      </c>
      <c r="L67" s="461" t="s">
        <v>276</v>
      </c>
      <c r="M67" s="461" t="s">
        <v>276</v>
      </c>
      <c r="N67" s="461" t="s">
        <v>276</v>
      </c>
      <c r="O67" s="461" t="s">
        <v>276</v>
      </c>
      <c r="P67" s="432" t="s">
        <v>95</v>
      </c>
      <c r="Q67" s="432" t="s">
        <v>95</v>
      </c>
      <c r="R67" s="432" t="s">
        <v>95</v>
      </c>
      <c r="S67" s="432" t="s">
        <v>95</v>
      </c>
      <c r="T67" s="432" t="s">
        <v>95</v>
      </c>
      <c r="U67" s="513" t="s">
        <v>162</v>
      </c>
      <c r="V67" s="513" t="s">
        <v>162</v>
      </c>
      <c r="W67" s="430"/>
      <c r="X67" s="430"/>
      <c r="Y67" s="430"/>
      <c r="Z67" s="430"/>
      <c r="AA67" s="430"/>
      <c r="AB67" s="430"/>
    </row>
    <row r="68" spans="1:28">
      <c r="A68" s="506"/>
      <c r="B68" s="507"/>
      <c r="C68" s="506"/>
      <c r="D68" s="507"/>
      <c r="E68" s="506"/>
      <c r="F68" s="315"/>
      <c r="G68" s="122"/>
      <c r="H68" s="122"/>
      <c r="I68" s="131"/>
      <c r="J68" s="122"/>
      <c r="K68" s="131"/>
      <c r="L68" s="122"/>
      <c r="M68" s="366"/>
      <c r="N68" s="366"/>
      <c r="O68" s="366"/>
      <c r="P68" s="508"/>
      <c r="Q68" s="508"/>
      <c r="R68" s="508"/>
      <c r="S68" s="508"/>
      <c r="T68" s="508"/>
      <c r="U68" s="509"/>
      <c r="V68" s="509"/>
    </row>
    <row r="69" spans="1:28" ht="39.6">
      <c r="A69" s="510" t="str">
        <f t="shared" ref="A69:D74" si="33">A20</f>
        <v>AH-104-1 + FC-104-01 (2)</v>
      </c>
      <c r="B69" s="502" t="str">
        <f t="shared" si="33"/>
        <v>MAGAZZINO BASSO P1</v>
      </c>
      <c r="C69" s="501" t="str">
        <f t="shared" si="33"/>
        <v>A104</v>
      </c>
      <c r="D69" s="502" t="str">
        <f t="shared" si="33"/>
        <v>MALE CHANGING ROOM</v>
      </c>
      <c r="E69" s="501" t="str">
        <f t="shared" ref="E69:E74" si="34">F20</f>
        <v>NC</v>
      </c>
      <c r="F69" s="458">
        <f>PortateAria!$AG$56</f>
        <v>1</v>
      </c>
      <c r="G69" s="324" t="s">
        <v>275</v>
      </c>
      <c r="H69" s="540" t="s">
        <v>276</v>
      </c>
      <c r="I69" s="459" t="s">
        <v>308</v>
      </c>
      <c r="J69" s="324" t="s">
        <v>161</v>
      </c>
      <c r="K69" s="459" t="s">
        <v>541</v>
      </c>
      <c r="L69" s="324" t="s">
        <v>161</v>
      </c>
      <c r="M69" s="503" t="s">
        <v>152</v>
      </c>
      <c r="N69" s="503" t="s">
        <v>169</v>
      </c>
      <c r="O69" s="503" t="s">
        <v>169</v>
      </c>
      <c r="P69" s="504" t="s">
        <v>95</v>
      </c>
      <c r="Q69" s="504" t="s">
        <v>95</v>
      </c>
      <c r="R69" s="504" t="s">
        <v>95</v>
      </c>
      <c r="S69" s="504" t="s">
        <v>95</v>
      </c>
      <c r="T69" s="504" t="s">
        <v>95</v>
      </c>
      <c r="U69" s="505" t="s">
        <v>162</v>
      </c>
      <c r="V69" s="505" t="s">
        <v>162</v>
      </c>
    </row>
    <row r="70" spans="1:28" ht="39.6">
      <c r="A70" s="510" t="str">
        <f t="shared" si="33"/>
        <v>AH-104-1 + FC-104-01 (2)</v>
      </c>
      <c r="B70" s="502" t="str">
        <f t="shared" si="33"/>
        <v>MAGAZZINO BASSO P1</v>
      </c>
      <c r="C70" s="501" t="str">
        <f t="shared" si="33"/>
        <v>A105</v>
      </c>
      <c r="D70" s="502" t="str">
        <f t="shared" si="33"/>
        <v>MALE WC</v>
      </c>
      <c r="E70" s="501" t="str">
        <f t="shared" si="34"/>
        <v>NC</v>
      </c>
      <c r="F70" s="458">
        <f>PortateAria!$AG$56</f>
        <v>1</v>
      </c>
      <c r="G70" s="324" t="s">
        <v>275</v>
      </c>
      <c r="H70" s="540" t="s">
        <v>276</v>
      </c>
      <c r="I70" s="459" t="s">
        <v>308</v>
      </c>
      <c r="J70" s="324" t="s">
        <v>161</v>
      </c>
      <c r="K70" s="459" t="s">
        <v>309</v>
      </c>
      <c r="L70" s="324" t="s">
        <v>161</v>
      </c>
      <c r="M70" s="503" t="s">
        <v>152</v>
      </c>
      <c r="N70" s="503" t="s">
        <v>169</v>
      </c>
      <c r="O70" s="503" t="s">
        <v>169</v>
      </c>
      <c r="P70" s="504" t="s">
        <v>95</v>
      </c>
      <c r="Q70" s="504" t="s">
        <v>95</v>
      </c>
      <c r="R70" s="504" t="s">
        <v>95</v>
      </c>
      <c r="S70" s="504" t="s">
        <v>95</v>
      </c>
      <c r="T70" s="504" t="s">
        <v>95</v>
      </c>
      <c r="U70" s="505" t="s">
        <v>162</v>
      </c>
      <c r="V70" s="505" t="s">
        <v>162</v>
      </c>
    </row>
    <row r="71" spans="1:28" ht="39.6">
      <c r="A71" s="510" t="str">
        <f t="shared" si="33"/>
        <v>AH-104-1 + FC-104-01 (2)</v>
      </c>
      <c r="B71" s="502" t="str">
        <f t="shared" si="33"/>
        <v>MAGAZZINO BASSO P1</v>
      </c>
      <c r="C71" s="501" t="str">
        <f t="shared" si="33"/>
        <v>A106</v>
      </c>
      <c r="D71" s="502" t="str">
        <f t="shared" si="33"/>
        <v>FEMALE WC</v>
      </c>
      <c r="E71" s="501" t="str">
        <f t="shared" si="34"/>
        <v>NC</v>
      </c>
      <c r="F71" s="458">
        <f>PortateAria!$AG$56</f>
        <v>1</v>
      </c>
      <c r="G71" s="324" t="s">
        <v>275</v>
      </c>
      <c r="H71" s="540" t="s">
        <v>276</v>
      </c>
      <c r="I71" s="459" t="s">
        <v>308</v>
      </c>
      <c r="J71" s="324" t="s">
        <v>161</v>
      </c>
      <c r="K71" s="459" t="s">
        <v>309</v>
      </c>
      <c r="L71" s="324" t="s">
        <v>161</v>
      </c>
      <c r="M71" s="503" t="s">
        <v>152</v>
      </c>
      <c r="N71" s="503" t="s">
        <v>169</v>
      </c>
      <c r="O71" s="503" t="s">
        <v>169</v>
      </c>
      <c r="P71" s="504" t="s">
        <v>95</v>
      </c>
      <c r="Q71" s="504" t="s">
        <v>95</v>
      </c>
      <c r="R71" s="504" t="s">
        <v>95</v>
      </c>
      <c r="S71" s="504" t="s">
        <v>95</v>
      </c>
      <c r="T71" s="504" t="s">
        <v>95</v>
      </c>
      <c r="U71" s="505" t="s">
        <v>162</v>
      </c>
      <c r="V71" s="505" t="s">
        <v>162</v>
      </c>
    </row>
    <row r="72" spans="1:28" ht="39.6">
      <c r="A72" s="510" t="str">
        <f t="shared" si="33"/>
        <v>AH-104-1 + FC-104-01 (2)</v>
      </c>
      <c r="B72" s="502" t="str">
        <f t="shared" si="33"/>
        <v>MAGAZZINO BASSO P1</v>
      </c>
      <c r="C72" s="501" t="str">
        <f t="shared" si="33"/>
        <v>A107</v>
      </c>
      <c r="D72" s="502" t="str">
        <f t="shared" si="33"/>
        <v>FEMALE CHANGING ROOM</v>
      </c>
      <c r="E72" s="501" t="str">
        <f t="shared" si="34"/>
        <v>NC</v>
      </c>
      <c r="F72" s="458">
        <f>PortateAria!$AG$56</f>
        <v>1</v>
      </c>
      <c r="G72" s="324" t="s">
        <v>275</v>
      </c>
      <c r="H72" s="540" t="s">
        <v>276</v>
      </c>
      <c r="I72" s="459" t="s">
        <v>308</v>
      </c>
      <c r="J72" s="324" t="s">
        <v>161</v>
      </c>
      <c r="K72" s="459" t="s">
        <v>541</v>
      </c>
      <c r="L72" s="324" t="s">
        <v>161</v>
      </c>
      <c r="M72" s="503" t="s">
        <v>152</v>
      </c>
      <c r="N72" s="503" t="s">
        <v>169</v>
      </c>
      <c r="O72" s="503" t="s">
        <v>169</v>
      </c>
      <c r="P72" s="504" t="s">
        <v>95</v>
      </c>
      <c r="Q72" s="504" t="s">
        <v>95</v>
      </c>
      <c r="R72" s="504" t="s">
        <v>95</v>
      </c>
      <c r="S72" s="504" t="s">
        <v>95</v>
      </c>
      <c r="T72" s="504" t="s">
        <v>95</v>
      </c>
      <c r="U72" s="505" t="s">
        <v>162</v>
      </c>
      <c r="V72" s="505" t="s">
        <v>162</v>
      </c>
    </row>
    <row r="73" spans="1:28" ht="39.6">
      <c r="A73" s="510" t="str">
        <f t="shared" si="33"/>
        <v>AH-104-1 + FC-104-01 (2)</v>
      </c>
      <c r="B73" s="502" t="str">
        <f t="shared" si="33"/>
        <v>MAGAZZINO BASSO P1</v>
      </c>
      <c r="C73" s="501" t="str">
        <f t="shared" si="33"/>
        <v>A110</v>
      </c>
      <c r="D73" s="502" t="str">
        <f t="shared" si="33"/>
        <v>SUPERVISOR ROOM</v>
      </c>
      <c r="E73" s="501" t="str">
        <f t="shared" si="34"/>
        <v>NC</v>
      </c>
      <c r="F73" s="458">
        <f>PortateAria!$AG$56</f>
        <v>1</v>
      </c>
      <c r="G73" s="324" t="s">
        <v>275</v>
      </c>
      <c r="H73" s="540" t="s">
        <v>276</v>
      </c>
      <c r="I73" s="459" t="s">
        <v>308</v>
      </c>
      <c r="J73" s="324" t="s">
        <v>161</v>
      </c>
      <c r="K73" s="459" t="s">
        <v>541</v>
      </c>
      <c r="L73" s="324" t="s">
        <v>161</v>
      </c>
      <c r="M73" s="503" t="s">
        <v>152</v>
      </c>
      <c r="N73" s="503" t="s">
        <v>169</v>
      </c>
      <c r="O73" s="503" t="s">
        <v>169</v>
      </c>
      <c r="P73" s="504" t="s">
        <v>95</v>
      </c>
      <c r="Q73" s="504" t="s">
        <v>95</v>
      </c>
      <c r="R73" s="504" t="s">
        <v>95</v>
      </c>
      <c r="S73" s="504" t="s">
        <v>95</v>
      </c>
      <c r="T73" s="504" t="s">
        <v>95</v>
      </c>
      <c r="U73" s="505" t="s">
        <v>162</v>
      </c>
      <c r="V73" s="505" t="s">
        <v>162</v>
      </c>
    </row>
    <row r="74" spans="1:28" ht="39.6">
      <c r="A74" s="510" t="str">
        <f t="shared" si="33"/>
        <v>AH-104-1 + FC-104-01 (2)</v>
      </c>
      <c r="B74" s="502" t="str">
        <f t="shared" si="33"/>
        <v>MAGAZZINO BASSO P1</v>
      </c>
      <c r="C74" s="501" t="str">
        <f t="shared" si="33"/>
        <v>A109</v>
      </c>
      <c r="D74" s="502" t="str">
        <f t="shared" si="33"/>
        <v>UPS ROOM</v>
      </c>
      <c r="E74" s="501" t="str">
        <f t="shared" si="34"/>
        <v>NC</v>
      </c>
      <c r="F74" s="458">
        <f>PortateAria!$AG$56</f>
        <v>1</v>
      </c>
      <c r="G74" s="324" t="s">
        <v>275</v>
      </c>
      <c r="H74" s="540" t="s">
        <v>276</v>
      </c>
      <c r="I74" s="459" t="s">
        <v>308</v>
      </c>
      <c r="J74" s="324" t="s">
        <v>161</v>
      </c>
      <c r="K74" s="459" t="s">
        <v>541</v>
      </c>
      <c r="L74" s="324" t="s">
        <v>161</v>
      </c>
      <c r="M74" s="503" t="s">
        <v>152</v>
      </c>
      <c r="N74" s="503" t="s">
        <v>169</v>
      </c>
      <c r="O74" s="503" t="s">
        <v>169</v>
      </c>
      <c r="P74" s="504" t="s">
        <v>95</v>
      </c>
      <c r="Q74" s="504" t="s">
        <v>95</v>
      </c>
      <c r="R74" s="504" t="s">
        <v>95</v>
      </c>
      <c r="S74" s="504" t="s">
        <v>95</v>
      </c>
      <c r="T74" s="504" t="s">
        <v>95</v>
      </c>
      <c r="U74" s="505" t="s">
        <v>162</v>
      </c>
      <c r="V74" s="505" t="s">
        <v>162</v>
      </c>
    </row>
    <row r="75" spans="1:28">
      <c r="A75" s="506"/>
      <c r="B75" s="507"/>
      <c r="C75" s="506"/>
      <c r="D75" s="507"/>
      <c r="E75" s="506"/>
      <c r="F75" s="315"/>
      <c r="G75" s="122"/>
      <c r="H75" s="122"/>
      <c r="I75" s="131"/>
      <c r="J75" s="122"/>
      <c r="K75" s="131"/>
      <c r="L75" s="122"/>
      <c r="M75" s="366"/>
      <c r="N75" s="366"/>
      <c r="O75" s="366"/>
      <c r="P75" s="508"/>
      <c r="Q75" s="508"/>
      <c r="R75" s="508"/>
      <c r="S75" s="508"/>
      <c r="T75" s="508"/>
      <c r="U75" s="509"/>
      <c r="V75" s="509"/>
    </row>
    <row r="76" spans="1:28" ht="13.8">
      <c r="A76" s="501" t="str">
        <f t="shared" ref="A76:D77" si="35">A27</f>
        <v>AH-105-01</v>
      </c>
      <c r="B76" s="502" t="str">
        <f t="shared" si="35"/>
        <v>REVAMPING P0</v>
      </c>
      <c r="C76" s="501" t="str">
        <f t="shared" si="35"/>
        <v>E002</v>
      </c>
      <c r="D76" s="502" t="str">
        <f t="shared" si="35"/>
        <v>LOGISTIC AIRLOCK OUT</v>
      </c>
      <c r="E76" s="501" t="str">
        <f>F27</f>
        <v>NC</v>
      </c>
      <c r="F76" s="458">
        <f>PortateAria!$AG$72</f>
        <v>0.55555555555555558</v>
      </c>
      <c r="G76" s="324" t="s">
        <v>275</v>
      </c>
      <c r="H76" s="540" t="s">
        <v>276</v>
      </c>
      <c r="I76" s="459" t="s">
        <v>308</v>
      </c>
      <c r="J76" s="324" t="s">
        <v>161</v>
      </c>
      <c r="K76" s="459" t="s">
        <v>426</v>
      </c>
      <c r="L76" s="324" t="s">
        <v>161</v>
      </c>
      <c r="M76" s="503" t="s">
        <v>152</v>
      </c>
      <c r="N76" s="503" t="s">
        <v>169</v>
      </c>
      <c r="O76" s="503" t="s">
        <v>169</v>
      </c>
      <c r="P76" s="504" t="s">
        <v>95</v>
      </c>
      <c r="Q76" s="504" t="s">
        <v>95</v>
      </c>
      <c r="R76" s="504" t="s">
        <v>95</v>
      </c>
      <c r="S76" s="504" t="s">
        <v>95</v>
      </c>
      <c r="T76" s="504" t="s">
        <v>95</v>
      </c>
      <c r="U76" s="505" t="s">
        <v>162</v>
      </c>
      <c r="V76" s="505" t="s">
        <v>162</v>
      </c>
    </row>
    <row r="77" spans="1:28" ht="13.8">
      <c r="A77" s="501" t="str">
        <f t="shared" si="35"/>
        <v>AH-105-01</v>
      </c>
      <c r="B77" s="502" t="str">
        <f t="shared" si="35"/>
        <v>REVAMPING P0</v>
      </c>
      <c r="C77" s="501" t="str">
        <f t="shared" si="35"/>
        <v>E003</v>
      </c>
      <c r="D77" s="502" t="str">
        <f t="shared" si="35"/>
        <v>LOGISTIC AIRLOCK IN</v>
      </c>
      <c r="E77" s="501" t="str">
        <f>F28</f>
        <v>NC</v>
      </c>
      <c r="F77" s="458">
        <f>PortateAria!$AG$72</f>
        <v>0.55555555555555558</v>
      </c>
      <c r="G77" s="324" t="s">
        <v>275</v>
      </c>
      <c r="H77" s="540" t="s">
        <v>276</v>
      </c>
      <c r="I77" s="459" t="s">
        <v>308</v>
      </c>
      <c r="J77" s="324" t="s">
        <v>161</v>
      </c>
      <c r="K77" s="459" t="s">
        <v>426</v>
      </c>
      <c r="L77" s="324" t="s">
        <v>161</v>
      </c>
      <c r="M77" s="503" t="s">
        <v>152</v>
      </c>
      <c r="N77" s="503" t="s">
        <v>169</v>
      </c>
      <c r="O77" s="503" t="s">
        <v>169</v>
      </c>
      <c r="P77" s="504" t="s">
        <v>95</v>
      </c>
      <c r="Q77" s="504" t="s">
        <v>95</v>
      </c>
      <c r="R77" s="504" t="s">
        <v>95</v>
      </c>
      <c r="S77" s="504" t="s">
        <v>95</v>
      </c>
      <c r="T77" s="504" t="s">
        <v>95</v>
      </c>
      <c r="U77" s="505" t="s">
        <v>162</v>
      </c>
      <c r="V77" s="505" t="s">
        <v>162</v>
      </c>
    </row>
    <row r="78" spans="1:28" s="522" customFormat="1">
      <c r="A78" s="506"/>
      <c r="B78" s="507"/>
      <c r="C78" s="506"/>
      <c r="D78" s="507"/>
      <c r="E78" s="506"/>
      <c r="F78" s="315"/>
      <c r="G78" s="122"/>
      <c r="H78" s="122"/>
      <c r="I78" s="131"/>
      <c r="J78" s="122"/>
      <c r="K78" s="131"/>
      <c r="L78" s="122"/>
      <c r="M78" s="366"/>
      <c r="N78" s="366"/>
      <c r="O78" s="366"/>
      <c r="P78" s="508"/>
      <c r="Q78" s="508"/>
      <c r="R78" s="508"/>
      <c r="S78" s="508"/>
      <c r="T78" s="508"/>
      <c r="U78" s="509"/>
      <c r="V78" s="509"/>
      <c r="W78" s="39"/>
      <c r="X78" s="39"/>
      <c r="Y78" s="39"/>
      <c r="Z78" s="39"/>
      <c r="AA78" s="39"/>
      <c r="AB78" s="39"/>
    </row>
    <row r="79" spans="1:28" s="522" customFormat="1" ht="39.6">
      <c r="A79" s="501" t="str">
        <f t="shared" ref="A79:D80" si="36">A30</f>
        <v>AH-106-1</v>
      </c>
      <c r="B79" s="502" t="str">
        <f t="shared" si="36"/>
        <v>REVAMPING P0</v>
      </c>
      <c r="C79" s="501" t="str">
        <f t="shared" si="36"/>
        <v>0605/0311</v>
      </c>
      <c r="D79" s="502" t="str">
        <f t="shared" si="36"/>
        <v>WAREHOUSE NORTH SIDE / CORRIDOR</v>
      </c>
      <c r="E79" s="501" t="str">
        <f>F30</f>
        <v>NC</v>
      </c>
      <c r="F79" s="458">
        <f>PortateAria!$AG$89</f>
        <v>2.9629629629629631E-2</v>
      </c>
      <c r="G79" s="324" t="s">
        <v>275</v>
      </c>
      <c r="H79" s="540" t="s">
        <v>276</v>
      </c>
      <c r="I79" s="459" t="s">
        <v>540</v>
      </c>
      <c r="J79" s="324" t="s">
        <v>161</v>
      </c>
      <c r="K79" s="459" t="s">
        <v>535</v>
      </c>
      <c r="L79" s="459" t="s">
        <v>538</v>
      </c>
      <c r="M79" s="503" t="s">
        <v>152</v>
      </c>
      <c r="N79" s="503" t="s">
        <v>169</v>
      </c>
      <c r="O79" s="503" t="s">
        <v>169</v>
      </c>
      <c r="P79" s="504" t="s">
        <v>95</v>
      </c>
      <c r="Q79" s="503" t="s">
        <v>270</v>
      </c>
      <c r="R79" s="503" t="s">
        <v>270</v>
      </c>
      <c r="S79" s="504" t="s">
        <v>95</v>
      </c>
      <c r="T79" s="504" t="s">
        <v>95</v>
      </c>
      <c r="U79" s="505" t="s">
        <v>162</v>
      </c>
      <c r="V79" s="505" t="s">
        <v>162</v>
      </c>
      <c r="W79" s="39"/>
      <c r="X79" s="39"/>
      <c r="Y79" s="39"/>
      <c r="Z79" s="39"/>
      <c r="AA79" s="39"/>
      <c r="AB79" s="39"/>
    </row>
    <row r="80" spans="1:28" ht="13.8">
      <c r="A80" s="501" t="str">
        <f t="shared" si="36"/>
        <v>AH-106-1</v>
      </c>
      <c r="B80" s="502" t="str">
        <f t="shared" si="36"/>
        <v>REVAMPING P0</v>
      </c>
      <c r="C80" s="501" t="str">
        <f t="shared" si="36"/>
        <v>0606</v>
      </c>
      <c r="D80" s="502" t="str">
        <f t="shared" si="36"/>
        <v>NO BETA AREA CORRIDOR</v>
      </c>
      <c r="E80" s="501" t="str">
        <f>F31</f>
        <v>NC</v>
      </c>
      <c r="F80" s="458">
        <f>PortateAria!$AG$89</f>
        <v>2.9629629629629631E-2</v>
      </c>
      <c r="G80" s="324" t="s">
        <v>275</v>
      </c>
      <c r="H80" s="540" t="s">
        <v>276</v>
      </c>
      <c r="I80" s="459" t="s">
        <v>308</v>
      </c>
      <c r="J80" s="324" t="s">
        <v>161</v>
      </c>
      <c r="K80" s="459" t="s">
        <v>426</v>
      </c>
      <c r="L80" s="324" t="s">
        <v>161</v>
      </c>
      <c r="M80" s="503" t="s">
        <v>152</v>
      </c>
      <c r="N80" s="503" t="s">
        <v>169</v>
      </c>
      <c r="O80" s="503" t="s">
        <v>169</v>
      </c>
      <c r="P80" s="504" t="s">
        <v>95</v>
      </c>
      <c r="Q80" s="503" t="s">
        <v>270</v>
      </c>
      <c r="R80" s="503" t="s">
        <v>270</v>
      </c>
      <c r="S80" s="504" t="s">
        <v>95</v>
      </c>
      <c r="T80" s="504" t="s">
        <v>95</v>
      </c>
      <c r="U80" s="505" t="s">
        <v>162</v>
      </c>
      <c r="V80" s="505" t="s">
        <v>162</v>
      </c>
    </row>
    <row r="81" spans="1:22" ht="13.8">
      <c r="A81" s="501" t="str">
        <f t="shared" ref="A81:D81" si="37">A32</f>
        <v>AH-106-1</v>
      </c>
      <c r="B81" s="502" t="str">
        <f t="shared" si="37"/>
        <v>REVAMPING P0</v>
      </c>
      <c r="C81" s="501" t="str">
        <f t="shared" si="37"/>
        <v>0615</v>
      </c>
      <c r="D81" s="502" t="str">
        <f t="shared" si="37"/>
        <v>WASTE MATERIAL EXIT</v>
      </c>
      <c r="E81" s="501" t="str">
        <f t="shared" ref="E81" si="38">F32</f>
        <v>NC</v>
      </c>
      <c r="F81" s="458">
        <f>PortateAria!$AG$89</f>
        <v>2.9629629629629631E-2</v>
      </c>
      <c r="G81" s="324" t="s">
        <v>275</v>
      </c>
      <c r="H81" s="540" t="s">
        <v>276</v>
      </c>
      <c r="I81" s="459" t="s">
        <v>308</v>
      </c>
      <c r="J81" s="324" t="s">
        <v>161</v>
      </c>
      <c r="K81" s="459" t="s">
        <v>426</v>
      </c>
      <c r="L81" s="324" t="s">
        <v>161</v>
      </c>
      <c r="M81" s="503" t="s">
        <v>152</v>
      </c>
      <c r="N81" s="503" t="s">
        <v>169</v>
      </c>
      <c r="O81" s="503" t="s">
        <v>169</v>
      </c>
      <c r="P81" s="504" t="s">
        <v>95</v>
      </c>
      <c r="Q81" s="504" t="s">
        <v>95</v>
      </c>
      <c r="R81" s="504" t="s">
        <v>95</v>
      </c>
      <c r="S81" s="504" t="s">
        <v>95</v>
      </c>
      <c r="T81" s="504" t="s">
        <v>95</v>
      </c>
      <c r="U81" s="505" t="s">
        <v>162</v>
      </c>
      <c r="V81" s="505" t="s">
        <v>162</v>
      </c>
    </row>
    <row r="82" spans="1:22">
      <c r="A82" s="506"/>
      <c r="B82" s="507"/>
      <c r="C82" s="506"/>
      <c r="D82" s="507"/>
      <c r="E82" s="506"/>
      <c r="F82" s="315"/>
      <c r="G82" s="122"/>
      <c r="H82" s="122"/>
      <c r="I82" s="131"/>
      <c r="J82" s="122"/>
      <c r="K82" s="131"/>
      <c r="L82" s="122"/>
      <c r="M82" s="366"/>
      <c r="N82" s="366"/>
      <c r="O82" s="366"/>
      <c r="P82" s="508"/>
      <c r="Q82" s="508"/>
      <c r="R82" s="508"/>
      <c r="S82" s="508"/>
      <c r="T82" s="508"/>
      <c r="U82" s="509"/>
      <c r="V82" s="509"/>
    </row>
    <row r="83" spans="1:22" ht="39.6">
      <c r="A83" s="510" t="str">
        <f t="shared" ref="A83:D83" si="39">A34</f>
        <v>AH-107-1 + FC-107-01 (2)</v>
      </c>
      <c r="B83" s="502" t="str">
        <f t="shared" si="39"/>
        <v>REVAMPING P0</v>
      </c>
      <c r="C83" s="501" t="str">
        <f t="shared" si="39"/>
        <v>B001</v>
      </c>
      <c r="D83" s="502" t="str">
        <f t="shared" si="39"/>
        <v>DS STORAGE</v>
      </c>
      <c r="E83" s="501" t="str">
        <f t="shared" ref="E83:E85" si="40">F34</f>
        <v>NC</v>
      </c>
      <c r="F83" s="458">
        <f>PortateAria!$AG$106</f>
        <v>1</v>
      </c>
      <c r="G83" s="324" t="s">
        <v>537</v>
      </c>
      <c r="H83" s="540" t="s">
        <v>276</v>
      </c>
      <c r="I83" s="459" t="s">
        <v>308</v>
      </c>
      <c r="J83" s="324" t="s">
        <v>161</v>
      </c>
      <c r="K83" s="459" t="s">
        <v>426</v>
      </c>
      <c r="L83" s="324" t="s">
        <v>161</v>
      </c>
      <c r="M83" s="503" t="s">
        <v>152</v>
      </c>
      <c r="N83" s="503" t="s">
        <v>169</v>
      </c>
      <c r="O83" s="503" t="s">
        <v>169</v>
      </c>
      <c r="P83" s="504" t="s">
        <v>95</v>
      </c>
      <c r="Q83" s="503" t="s">
        <v>270</v>
      </c>
      <c r="R83" s="503" t="s">
        <v>270</v>
      </c>
      <c r="S83" s="504" t="s">
        <v>95</v>
      </c>
      <c r="T83" s="504" t="s">
        <v>95</v>
      </c>
      <c r="U83" s="505" t="s">
        <v>162</v>
      </c>
      <c r="V83" s="505" t="s">
        <v>162</v>
      </c>
    </row>
    <row r="84" spans="1:22" ht="39.6">
      <c r="A84" s="510" t="str">
        <f t="shared" ref="A84:D87" si="41">A35</f>
        <v>AH-107-1 + FC-107-01 (2)</v>
      </c>
      <c r="B84" s="502" t="str">
        <f t="shared" si="41"/>
        <v>REVAMPING P0</v>
      </c>
      <c r="C84" s="501" t="str">
        <f t="shared" si="41"/>
        <v>B002</v>
      </c>
      <c r="D84" s="502" t="str">
        <f t="shared" si="41"/>
        <v>CHECK ROOM/AIRLOCK</v>
      </c>
      <c r="E84" s="501" t="str">
        <f t="shared" si="40"/>
        <v>NC</v>
      </c>
      <c r="F84" s="458">
        <f>PortateAria!$AG$106</f>
        <v>1</v>
      </c>
      <c r="G84" s="324" t="s">
        <v>537</v>
      </c>
      <c r="H84" s="540" t="s">
        <v>276</v>
      </c>
      <c r="I84" s="459" t="s">
        <v>308</v>
      </c>
      <c r="J84" s="324" t="s">
        <v>161</v>
      </c>
      <c r="K84" s="459" t="s">
        <v>426</v>
      </c>
      <c r="L84" s="324" t="s">
        <v>161</v>
      </c>
      <c r="M84" s="503" t="s">
        <v>152</v>
      </c>
      <c r="N84" s="503" t="s">
        <v>169</v>
      </c>
      <c r="O84" s="503" t="s">
        <v>169</v>
      </c>
      <c r="P84" s="504" t="s">
        <v>95</v>
      </c>
      <c r="Q84" s="503" t="s">
        <v>270</v>
      </c>
      <c r="R84" s="503" t="s">
        <v>270</v>
      </c>
      <c r="S84" s="504" t="s">
        <v>95</v>
      </c>
      <c r="T84" s="504" t="s">
        <v>95</v>
      </c>
      <c r="U84" s="505" t="s">
        <v>162</v>
      </c>
      <c r="V84" s="505" t="s">
        <v>162</v>
      </c>
    </row>
    <row r="85" spans="1:22" ht="39.6">
      <c r="A85" s="510" t="str">
        <f t="shared" si="41"/>
        <v>AH-107-1 + FC-107-01 (2)</v>
      </c>
      <c r="B85" s="502" t="str">
        <f t="shared" si="41"/>
        <v>REVAMPING P0</v>
      </c>
      <c r="C85" s="501" t="str">
        <f t="shared" si="41"/>
        <v>B003</v>
      </c>
      <c r="D85" s="502" t="str">
        <f t="shared" si="41"/>
        <v>RECEIVING</v>
      </c>
      <c r="E85" s="501" t="str">
        <f t="shared" si="40"/>
        <v>NC</v>
      </c>
      <c r="F85" s="458">
        <f>PortateAria!$AG$106</f>
        <v>1</v>
      </c>
      <c r="G85" s="324" t="s">
        <v>537</v>
      </c>
      <c r="H85" s="540" t="s">
        <v>276</v>
      </c>
      <c r="I85" s="459" t="s">
        <v>308</v>
      </c>
      <c r="J85" s="324" t="s">
        <v>161</v>
      </c>
      <c r="K85" s="459" t="s">
        <v>426</v>
      </c>
      <c r="L85" s="324" t="s">
        <v>161</v>
      </c>
      <c r="M85" s="503" t="s">
        <v>152</v>
      </c>
      <c r="N85" s="503" t="s">
        <v>169</v>
      </c>
      <c r="O85" s="503" t="s">
        <v>169</v>
      </c>
      <c r="P85" s="504" t="s">
        <v>95</v>
      </c>
      <c r="Q85" s="504" t="s">
        <v>95</v>
      </c>
      <c r="R85" s="504" t="s">
        <v>95</v>
      </c>
      <c r="S85" s="504" t="s">
        <v>95</v>
      </c>
      <c r="T85" s="504" t="s">
        <v>95</v>
      </c>
      <c r="U85" s="505" t="s">
        <v>162</v>
      </c>
      <c r="V85" s="505" t="s">
        <v>162</v>
      </c>
    </row>
    <row r="86" spans="1:22">
      <c r="A86" s="506"/>
      <c r="B86" s="507"/>
      <c r="C86" s="506"/>
      <c r="D86" s="507"/>
      <c r="E86" s="506"/>
      <c r="F86" s="315"/>
      <c r="G86" s="122"/>
      <c r="H86" s="122"/>
      <c r="I86" s="131"/>
      <c r="J86" s="122"/>
      <c r="K86" s="131"/>
      <c r="L86" s="122"/>
      <c r="M86" s="366"/>
      <c r="N86" s="366"/>
      <c r="O86" s="366"/>
      <c r="P86" s="366"/>
      <c r="Q86" s="366"/>
      <c r="R86" s="366"/>
      <c r="S86" s="366"/>
      <c r="T86" s="366"/>
      <c r="U86" s="509"/>
      <c r="V86" s="131"/>
    </row>
    <row r="87" spans="1:22" ht="26.4">
      <c r="A87" s="510" t="str">
        <f t="shared" si="41"/>
        <v>FC-102-01 (3)</v>
      </c>
      <c r="B87" s="502" t="str">
        <f t="shared" si="41"/>
        <v>LINK CORRIDOR P1</v>
      </c>
      <c r="C87" s="501" t="str">
        <f t="shared" si="41"/>
        <v>E102</v>
      </c>
      <c r="D87" s="502" t="str">
        <f t="shared" si="41"/>
        <v>ELECTRIC ROOM</v>
      </c>
      <c r="E87" s="501" t="str">
        <f t="shared" ref="E87" si="42">F38</f>
        <v>NC</v>
      </c>
      <c r="F87" s="458">
        <v>0</v>
      </c>
      <c r="G87" s="324" t="s">
        <v>537</v>
      </c>
      <c r="H87" s="540" t="s">
        <v>276</v>
      </c>
      <c r="I87" s="459" t="s">
        <v>276</v>
      </c>
      <c r="J87" s="459" t="s">
        <v>276</v>
      </c>
      <c r="K87" s="459" t="s">
        <v>276</v>
      </c>
      <c r="L87" s="459" t="s">
        <v>276</v>
      </c>
      <c r="M87" s="459" t="s">
        <v>276</v>
      </c>
      <c r="N87" s="459" t="s">
        <v>276</v>
      </c>
      <c r="O87" s="459" t="s">
        <v>276</v>
      </c>
      <c r="P87" s="504" t="s">
        <v>95</v>
      </c>
      <c r="Q87" s="504" t="s">
        <v>95</v>
      </c>
      <c r="R87" s="504" t="s">
        <v>95</v>
      </c>
      <c r="S87" s="504" t="s">
        <v>95</v>
      </c>
      <c r="T87" s="504" t="s">
        <v>95</v>
      </c>
      <c r="U87" s="505" t="s">
        <v>162</v>
      </c>
      <c r="V87" s="505" t="s">
        <v>162</v>
      </c>
    </row>
    <row r="88" spans="1:22">
      <c r="A88" s="329"/>
      <c r="B88" s="330"/>
      <c r="C88" s="329"/>
      <c r="D88" s="330"/>
      <c r="E88" s="329"/>
      <c r="F88" s="315"/>
      <c r="G88" s="183"/>
      <c r="H88" s="122"/>
      <c r="I88" s="317"/>
      <c r="J88" s="318"/>
      <c r="K88" s="317"/>
      <c r="L88" s="318"/>
      <c r="M88" s="184"/>
      <c r="N88" s="184"/>
      <c r="O88" s="184"/>
      <c r="P88" s="319"/>
      <c r="Q88" s="320"/>
      <c r="R88" s="320"/>
      <c r="S88" s="320"/>
      <c r="T88" s="321"/>
      <c r="U88" s="185"/>
      <c r="V88" s="316"/>
    </row>
    <row r="89" spans="1:22">
      <c r="A89" s="581" t="s">
        <v>30</v>
      </c>
      <c r="B89" s="581"/>
      <c r="C89" s="689" t="s">
        <v>429</v>
      </c>
      <c r="D89" s="690"/>
      <c r="E89" s="590"/>
      <c r="F89" s="628" t="s">
        <v>131</v>
      </c>
      <c r="G89" s="628"/>
      <c r="H89" s="628"/>
      <c r="I89" s="631"/>
      <c r="J89" s="632"/>
      <c r="K89" s="631"/>
      <c r="L89" s="632"/>
      <c r="M89" s="630"/>
      <c r="N89" s="628"/>
      <c r="O89" s="628"/>
      <c r="P89" s="619"/>
      <c r="Q89" s="620"/>
      <c r="R89" s="620"/>
      <c r="S89" s="620"/>
      <c r="T89" s="621"/>
      <c r="U89" s="630"/>
      <c r="V89" s="630"/>
    </row>
    <row r="90" spans="1:22">
      <c r="A90" s="581"/>
      <c r="B90" s="581"/>
      <c r="C90" s="691"/>
      <c r="D90" s="692"/>
      <c r="E90" s="590"/>
      <c r="F90" s="628"/>
      <c r="G90" s="628"/>
      <c r="H90" s="628"/>
      <c r="I90" s="633"/>
      <c r="J90" s="634"/>
      <c r="K90" s="633"/>
      <c r="L90" s="634"/>
      <c r="M90" s="630"/>
      <c r="N90" s="628"/>
      <c r="O90" s="628"/>
      <c r="P90" s="622"/>
      <c r="Q90" s="623"/>
      <c r="R90" s="623"/>
      <c r="S90" s="623"/>
      <c r="T90" s="624"/>
      <c r="U90" s="630"/>
      <c r="V90" s="630"/>
    </row>
    <row r="91" spans="1:22">
      <c r="A91" s="581"/>
      <c r="B91" s="581"/>
      <c r="C91" s="691"/>
      <c r="D91" s="692"/>
      <c r="E91" s="590"/>
      <c r="F91" s="628"/>
      <c r="G91" s="628"/>
      <c r="H91" s="628"/>
      <c r="I91" s="633"/>
      <c r="J91" s="634"/>
      <c r="K91" s="633"/>
      <c r="L91" s="634"/>
      <c r="M91" s="630"/>
      <c r="N91" s="628"/>
      <c r="O91" s="628"/>
      <c r="P91" s="622"/>
      <c r="Q91" s="623"/>
      <c r="R91" s="623"/>
      <c r="S91" s="623"/>
      <c r="T91" s="624"/>
      <c r="U91" s="630"/>
      <c r="V91" s="630"/>
    </row>
    <row r="92" spans="1:22">
      <c r="A92" s="581"/>
      <c r="B92" s="581"/>
      <c r="C92" s="691"/>
      <c r="D92" s="692"/>
      <c r="E92" s="590"/>
      <c r="F92" s="628"/>
      <c r="G92" s="628"/>
      <c r="H92" s="628"/>
      <c r="I92" s="633"/>
      <c r="J92" s="634"/>
      <c r="K92" s="633"/>
      <c r="L92" s="634"/>
      <c r="M92" s="630"/>
      <c r="N92" s="628"/>
      <c r="O92" s="628"/>
      <c r="P92" s="622"/>
      <c r="Q92" s="623"/>
      <c r="R92" s="623"/>
      <c r="S92" s="623"/>
      <c r="T92" s="624"/>
      <c r="U92" s="630"/>
      <c r="V92" s="630"/>
    </row>
    <row r="93" spans="1:22">
      <c r="A93" s="581"/>
      <c r="B93" s="581"/>
      <c r="C93" s="691"/>
      <c r="D93" s="692"/>
      <c r="E93" s="590"/>
      <c r="F93" s="628"/>
      <c r="G93" s="628"/>
      <c r="H93" s="628"/>
      <c r="I93" s="633"/>
      <c r="J93" s="634"/>
      <c r="K93" s="633"/>
      <c r="L93" s="634"/>
      <c r="M93" s="630"/>
      <c r="N93" s="628"/>
      <c r="O93" s="628"/>
      <c r="P93" s="622"/>
      <c r="Q93" s="623"/>
      <c r="R93" s="623"/>
      <c r="S93" s="623"/>
      <c r="T93" s="624"/>
      <c r="U93" s="630"/>
      <c r="V93" s="630"/>
    </row>
    <row r="94" spans="1:22">
      <c r="A94" s="581"/>
      <c r="B94" s="581"/>
      <c r="C94" s="691"/>
      <c r="D94" s="692"/>
      <c r="E94" s="590"/>
      <c r="F94" s="628"/>
      <c r="G94" s="628"/>
      <c r="H94" s="628"/>
      <c r="I94" s="633"/>
      <c r="J94" s="634"/>
      <c r="K94" s="633"/>
      <c r="L94" s="634"/>
      <c r="M94" s="630"/>
      <c r="N94" s="628"/>
      <c r="O94" s="628"/>
      <c r="P94" s="622"/>
      <c r="Q94" s="623"/>
      <c r="R94" s="623"/>
      <c r="S94" s="623"/>
      <c r="T94" s="624"/>
      <c r="U94" s="630"/>
      <c r="V94" s="630"/>
    </row>
    <row r="95" spans="1:22">
      <c r="A95" s="581"/>
      <c r="B95" s="581"/>
      <c r="C95" s="691"/>
      <c r="D95" s="692"/>
      <c r="E95" s="590"/>
      <c r="F95" s="628"/>
      <c r="G95" s="628"/>
      <c r="H95" s="628"/>
      <c r="I95" s="633"/>
      <c r="J95" s="634"/>
      <c r="K95" s="633"/>
      <c r="L95" s="634"/>
      <c r="M95" s="630"/>
      <c r="N95" s="628"/>
      <c r="O95" s="628"/>
      <c r="P95" s="622"/>
      <c r="Q95" s="623"/>
      <c r="R95" s="623"/>
      <c r="S95" s="623"/>
      <c r="T95" s="624"/>
      <c r="U95" s="630"/>
      <c r="V95" s="630"/>
    </row>
    <row r="96" spans="1:22">
      <c r="A96" s="581"/>
      <c r="B96" s="581"/>
      <c r="C96" s="691"/>
      <c r="D96" s="692"/>
      <c r="E96" s="590"/>
      <c r="F96" s="686"/>
      <c r="G96" s="628"/>
      <c r="H96" s="628"/>
      <c r="I96" s="633"/>
      <c r="J96" s="634"/>
      <c r="K96" s="633"/>
      <c r="L96" s="634"/>
      <c r="M96" s="630"/>
      <c r="N96" s="628"/>
      <c r="O96" s="628"/>
      <c r="P96" s="622"/>
      <c r="Q96" s="623"/>
      <c r="R96" s="623"/>
      <c r="S96" s="623"/>
      <c r="T96" s="624"/>
      <c r="U96" s="630"/>
      <c r="V96" s="630"/>
    </row>
    <row r="97" spans="1:22">
      <c r="A97" s="581"/>
      <c r="B97" s="581"/>
      <c r="C97" s="691"/>
      <c r="D97" s="692"/>
      <c r="E97" s="590"/>
      <c r="F97" s="628"/>
      <c r="G97" s="628"/>
      <c r="H97" s="628"/>
      <c r="I97" s="633"/>
      <c r="J97" s="634"/>
      <c r="K97" s="633"/>
      <c r="L97" s="634"/>
      <c r="M97" s="630"/>
      <c r="N97" s="628"/>
      <c r="O97" s="628"/>
      <c r="P97" s="622"/>
      <c r="Q97" s="623"/>
      <c r="R97" s="623"/>
      <c r="S97" s="623"/>
      <c r="T97" s="624"/>
      <c r="U97" s="630"/>
      <c r="V97" s="630"/>
    </row>
    <row r="98" spans="1:22">
      <c r="A98" s="581"/>
      <c r="B98" s="581"/>
      <c r="C98" s="691"/>
      <c r="D98" s="692"/>
      <c r="E98" s="590"/>
      <c r="F98" s="628"/>
      <c r="G98" s="628"/>
      <c r="H98" s="628"/>
      <c r="I98" s="633"/>
      <c r="J98" s="634"/>
      <c r="K98" s="633"/>
      <c r="L98" s="634"/>
      <c r="M98" s="630"/>
      <c r="N98" s="628"/>
      <c r="O98" s="628"/>
      <c r="P98" s="622"/>
      <c r="Q98" s="623"/>
      <c r="R98" s="623"/>
      <c r="S98" s="623"/>
      <c r="T98" s="624"/>
      <c r="U98" s="630"/>
      <c r="V98" s="630"/>
    </row>
    <row r="99" spans="1:22">
      <c r="A99" s="581"/>
      <c r="B99" s="581"/>
      <c r="C99" s="691"/>
      <c r="D99" s="692"/>
      <c r="E99" s="590"/>
      <c r="F99" s="628"/>
      <c r="G99" s="628"/>
      <c r="H99" s="628"/>
      <c r="I99" s="633"/>
      <c r="J99" s="634"/>
      <c r="K99" s="633"/>
      <c r="L99" s="634"/>
      <c r="M99" s="630"/>
      <c r="N99" s="628"/>
      <c r="O99" s="628"/>
      <c r="P99" s="622"/>
      <c r="Q99" s="623"/>
      <c r="R99" s="623"/>
      <c r="S99" s="623"/>
      <c r="T99" s="624"/>
      <c r="U99" s="630"/>
      <c r="V99" s="630"/>
    </row>
    <row r="100" spans="1:22">
      <c r="A100" s="581"/>
      <c r="B100" s="581"/>
      <c r="C100" s="691"/>
      <c r="D100" s="692"/>
      <c r="E100" s="590"/>
      <c r="F100" s="628"/>
      <c r="G100" s="628"/>
      <c r="H100" s="628"/>
      <c r="I100" s="633"/>
      <c r="J100" s="634"/>
      <c r="K100" s="633"/>
      <c r="L100" s="634"/>
      <c r="M100" s="630"/>
      <c r="N100" s="628"/>
      <c r="O100" s="628"/>
      <c r="P100" s="622"/>
      <c r="Q100" s="623"/>
      <c r="R100" s="623"/>
      <c r="S100" s="623"/>
      <c r="T100" s="624"/>
      <c r="U100" s="630"/>
      <c r="V100" s="630"/>
    </row>
    <row r="101" spans="1:22">
      <c r="A101" s="581"/>
      <c r="B101" s="581"/>
      <c r="C101" s="691"/>
      <c r="D101" s="692"/>
      <c r="E101" s="590"/>
      <c r="F101" s="628"/>
      <c r="G101" s="628"/>
      <c r="H101" s="628"/>
      <c r="I101" s="633"/>
      <c r="J101" s="634"/>
      <c r="K101" s="633"/>
      <c r="L101" s="634"/>
      <c r="M101" s="630"/>
      <c r="N101" s="628"/>
      <c r="O101" s="628"/>
      <c r="P101" s="622"/>
      <c r="Q101" s="623"/>
      <c r="R101" s="623"/>
      <c r="S101" s="623"/>
      <c r="T101" s="624"/>
      <c r="U101" s="630"/>
      <c r="V101" s="630"/>
    </row>
    <row r="102" spans="1:22">
      <c r="A102" s="581"/>
      <c r="B102" s="581"/>
      <c r="C102" s="691"/>
      <c r="D102" s="692"/>
      <c r="E102" s="590"/>
      <c r="F102" s="628"/>
      <c r="G102" s="628"/>
      <c r="H102" s="628"/>
      <c r="I102" s="633"/>
      <c r="J102" s="634"/>
      <c r="K102" s="633"/>
      <c r="L102" s="634"/>
      <c r="M102" s="630"/>
      <c r="N102" s="628"/>
      <c r="O102" s="628"/>
      <c r="P102" s="622"/>
      <c r="Q102" s="623"/>
      <c r="R102" s="623"/>
      <c r="S102" s="623"/>
      <c r="T102" s="624"/>
      <c r="U102" s="630"/>
      <c r="V102" s="630"/>
    </row>
    <row r="103" spans="1:22">
      <c r="A103" s="581"/>
      <c r="B103" s="581"/>
      <c r="C103" s="693"/>
      <c r="D103" s="694"/>
      <c r="E103" s="590"/>
      <c r="F103" s="628"/>
      <c r="G103" s="628"/>
      <c r="H103" s="628"/>
      <c r="I103" s="635"/>
      <c r="J103" s="636"/>
      <c r="K103" s="635"/>
      <c r="L103" s="636"/>
      <c r="M103" s="630"/>
      <c r="N103" s="628"/>
      <c r="O103" s="628"/>
      <c r="P103" s="625"/>
      <c r="Q103" s="626"/>
      <c r="R103" s="626"/>
      <c r="S103" s="626"/>
      <c r="T103" s="627"/>
      <c r="U103" s="630"/>
      <c r="V103" s="630"/>
    </row>
    <row r="104" spans="1:22">
      <c r="K104" s="56"/>
      <c r="L104" s="56"/>
      <c r="P104" s="92"/>
      <c r="Q104" s="50"/>
      <c r="R104" s="50"/>
      <c r="S104" s="50"/>
      <c r="T104" s="50"/>
    </row>
    <row r="105" spans="1:22">
      <c r="K105" s="56"/>
      <c r="L105" s="56"/>
      <c r="P105" s="50"/>
      <c r="Q105" s="50"/>
      <c r="R105" s="50"/>
      <c r="S105" s="50"/>
      <c r="T105" s="50"/>
    </row>
    <row r="106" spans="1:22">
      <c r="A106" s="51"/>
      <c r="B106" s="653" t="s">
        <v>123</v>
      </c>
      <c r="C106" s="654"/>
      <c r="D106" s="654"/>
      <c r="P106" s="50"/>
      <c r="Q106" s="50"/>
      <c r="R106" s="50"/>
      <c r="S106" s="50"/>
      <c r="T106" s="50"/>
    </row>
    <row r="107" spans="1:22">
      <c r="B107" s="52"/>
      <c r="C107" s="52"/>
      <c r="D107" s="52"/>
      <c r="P107" s="50"/>
      <c r="Q107" s="50"/>
      <c r="R107" s="50"/>
      <c r="S107" s="50"/>
      <c r="T107" s="50"/>
    </row>
    <row r="108" spans="1:22">
      <c r="A108" s="53"/>
      <c r="B108" s="653" t="s">
        <v>27</v>
      </c>
      <c r="C108" s="654"/>
      <c r="D108" s="654"/>
      <c r="P108" s="50"/>
      <c r="Q108" s="50"/>
      <c r="R108" s="50"/>
      <c r="S108" s="50"/>
      <c r="T108" s="50"/>
    </row>
    <row r="109" spans="1:22">
      <c r="B109" s="52"/>
      <c r="C109" s="52"/>
      <c r="D109" s="52"/>
      <c r="P109" s="50"/>
      <c r="Q109" s="50"/>
      <c r="R109" s="50"/>
      <c r="S109" s="50"/>
      <c r="T109" s="50"/>
    </row>
    <row r="110" spans="1:22">
      <c r="A110" s="54"/>
      <c r="B110" s="653" t="s">
        <v>28</v>
      </c>
      <c r="C110" s="654"/>
      <c r="D110" s="654"/>
      <c r="P110" s="50"/>
      <c r="Q110" s="50"/>
      <c r="R110" s="50"/>
      <c r="S110" s="50"/>
      <c r="T110" s="50"/>
    </row>
  </sheetData>
  <mergeCells count="74">
    <mergeCell ref="C53:D55"/>
    <mergeCell ref="E89:E103"/>
    <mergeCell ref="C89:D103"/>
    <mergeCell ref="E53:E55"/>
    <mergeCell ref="H40:I41"/>
    <mergeCell ref="C40:D41"/>
    <mergeCell ref="L3:L5"/>
    <mergeCell ref="I53:L53"/>
    <mergeCell ref="F54:F56"/>
    <mergeCell ref="F89:H103"/>
    <mergeCell ref="H54:H56"/>
    <mergeCell ref="I54:J55"/>
    <mergeCell ref="F53:H53"/>
    <mergeCell ref="Q42:T43"/>
    <mergeCell ref="W4:Y4"/>
    <mergeCell ref="U4:U5"/>
    <mergeCell ref="Q6:R7"/>
    <mergeCell ref="S6:T7"/>
    <mergeCell ref="V4:V6"/>
    <mergeCell ref="W5:W7"/>
    <mergeCell ref="A40:B41"/>
    <mergeCell ref="A1:AB1"/>
    <mergeCell ref="B110:D110"/>
    <mergeCell ref="U89:U103"/>
    <mergeCell ref="V89:V103"/>
    <mergeCell ref="M53:M56"/>
    <mergeCell ref="N53:O53"/>
    <mergeCell ref="M45:N45"/>
    <mergeCell ref="O45:P45"/>
    <mergeCell ref="J3:J5"/>
    <mergeCell ref="B108:D108"/>
    <mergeCell ref="B106:D106"/>
    <mergeCell ref="AB4:AB6"/>
    <mergeCell ref="Q3:T4"/>
    <mergeCell ref="U3:AB3"/>
    <mergeCell ref="M40:T41"/>
    <mergeCell ref="P53:T55"/>
    <mergeCell ref="O54:O55"/>
    <mergeCell ref="Z4:Z6"/>
    <mergeCell ref="AA4:AA6"/>
    <mergeCell ref="Q45:R45"/>
    <mergeCell ref="S45:T45"/>
    <mergeCell ref="A51:V51"/>
    <mergeCell ref="U53:U55"/>
    <mergeCell ref="U40:AB41"/>
    <mergeCell ref="B44:D44"/>
    <mergeCell ref="B46:D46"/>
    <mergeCell ref="B48:D48"/>
    <mergeCell ref="V53:V55"/>
    <mergeCell ref="M42:P43"/>
    <mergeCell ref="K3:K5"/>
    <mergeCell ref="H3:I6"/>
    <mergeCell ref="N89:O103"/>
    <mergeCell ref="K54:L55"/>
    <mergeCell ref="M89:M103"/>
    <mergeCell ref="I89:J103"/>
    <mergeCell ref="K89:L103"/>
    <mergeCell ref="N54:N55"/>
    <mergeCell ref="A89:B103"/>
    <mergeCell ref="M6:N7"/>
    <mergeCell ref="J6:J7"/>
    <mergeCell ref="K6:K7"/>
    <mergeCell ref="J40:L41"/>
    <mergeCell ref="L6:L7"/>
    <mergeCell ref="A3:B6"/>
    <mergeCell ref="C3:D6"/>
    <mergeCell ref="E3:F6"/>
    <mergeCell ref="A53:B55"/>
    <mergeCell ref="M3:P4"/>
    <mergeCell ref="O6:P7"/>
    <mergeCell ref="G54:G56"/>
    <mergeCell ref="E40:G41"/>
    <mergeCell ref="G3:G7"/>
    <mergeCell ref="P89:T103"/>
  </mergeCells>
  <phoneticPr fontId="32" type="noConversion"/>
  <pageMargins left="0.7" right="0.7" top="0.75" bottom="0.75" header="0.3" footer="0.3"/>
  <pageSetup paperSize="8" scale="39" fitToHeight="0" orientation="landscape" r:id="rId1"/>
  <rowBreaks count="1" manualBreakCount="1">
    <brk id="50" max="2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J65"/>
  <sheetViews>
    <sheetView view="pageBreakPreview" zoomScaleNormal="100" zoomScaleSheetLayoutView="100" workbookViewId="0">
      <pane xSplit="2" ySplit="3" topLeftCell="C4" activePane="bottomRight" state="frozen"/>
      <selection activeCell="C51" sqref="C51:I51"/>
      <selection pane="topRight" activeCell="C51" sqref="C51:I51"/>
      <selection pane="bottomLeft" activeCell="C51" sqref="C51:I51"/>
      <selection pane="bottomRight" activeCell="F32" sqref="F32"/>
    </sheetView>
  </sheetViews>
  <sheetFormatPr defaultRowHeight="13.2"/>
  <cols>
    <col min="1" max="1" width="15.33203125" bestFit="1" customWidth="1"/>
    <col min="2" max="2" width="49.21875" customWidth="1"/>
    <col min="3" max="3" width="42" customWidth="1"/>
    <col min="4" max="4" width="18.6640625" bestFit="1" customWidth="1"/>
    <col min="5" max="5" width="9.109375" customWidth="1"/>
    <col min="6" max="6" width="11.33203125" customWidth="1"/>
    <col min="7" max="7" width="11.88671875" customWidth="1"/>
    <col min="8" max="8" width="19.33203125" bestFit="1" customWidth="1"/>
    <col min="9" max="9" width="25.88671875" bestFit="1" customWidth="1"/>
    <col min="10" max="10" width="16" customWidth="1"/>
  </cols>
  <sheetData>
    <row r="1" spans="1:10" ht="25.2" thickBot="1">
      <c r="A1" s="697" t="s">
        <v>41</v>
      </c>
      <c r="B1" s="698"/>
      <c r="C1" s="698"/>
      <c r="D1" s="698"/>
      <c r="E1" s="698"/>
      <c r="F1" s="698"/>
      <c r="G1" s="698"/>
      <c r="H1" s="698"/>
      <c r="I1" s="698"/>
      <c r="J1" s="698"/>
    </row>
    <row r="2" spans="1:10" ht="12.75" customHeight="1">
      <c r="A2" s="703" t="s">
        <v>29</v>
      </c>
      <c r="B2" s="701" t="s">
        <v>8</v>
      </c>
      <c r="C2" s="701" t="s">
        <v>21</v>
      </c>
      <c r="D2" s="24" t="s">
        <v>74</v>
      </c>
      <c r="E2" s="699" t="s">
        <v>226</v>
      </c>
      <c r="F2" s="699" t="s">
        <v>12</v>
      </c>
      <c r="G2" s="699" t="s">
        <v>78</v>
      </c>
      <c r="H2" s="24" t="s">
        <v>297</v>
      </c>
      <c r="I2" s="25" t="s">
        <v>75</v>
      </c>
      <c r="J2" s="25" t="s">
        <v>296</v>
      </c>
    </row>
    <row r="3" spans="1:10" ht="13.8" thickBot="1">
      <c r="A3" s="704"/>
      <c r="B3" s="702"/>
      <c r="C3" s="702"/>
      <c r="D3" s="36" t="s">
        <v>37</v>
      </c>
      <c r="E3" s="700"/>
      <c r="F3" s="700"/>
      <c r="G3" s="700"/>
      <c r="H3" s="36" t="s">
        <v>37</v>
      </c>
      <c r="I3" s="37" t="s">
        <v>37</v>
      </c>
      <c r="J3" s="37" t="s">
        <v>37</v>
      </c>
    </row>
    <row r="4" spans="1:10" s="165" customFormat="1">
      <c r="A4" s="147" t="str">
        <f>'Design Criteria'!C8</f>
        <v>E001</v>
      </c>
      <c r="B4" s="174" t="str">
        <f>'Design Criteria'!D8</f>
        <v>MATERIAL RECEIVING LINK CORRIDOR</v>
      </c>
      <c r="C4" s="339" t="s">
        <v>320</v>
      </c>
      <c r="D4" s="337">
        <v>3000</v>
      </c>
      <c r="E4" s="337">
        <v>0</v>
      </c>
      <c r="F4" s="179">
        <v>0.5</v>
      </c>
      <c r="G4" s="179">
        <v>0.15</v>
      </c>
      <c r="H4" s="180">
        <f>G4*E4*F4*D4</f>
        <v>0</v>
      </c>
      <c r="I4" s="307">
        <f>H4*E4</f>
        <v>0</v>
      </c>
      <c r="J4" s="181">
        <f>SUM(I4:I5)</f>
        <v>1799.9999999999998</v>
      </c>
    </row>
    <row r="5" spans="1:10" s="165" customFormat="1">
      <c r="A5" s="147"/>
      <c r="B5" s="174"/>
      <c r="C5" s="336" t="s">
        <v>339</v>
      </c>
      <c r="D5" s="337">
        <v>1000</v>
      </c>
      <c r="E5" s="337">
        <v>4</v>
      </c>
      <c r="F5" s="179">
        <v>0.75</v>
      </c>
      <c r="G5" s="179">
        <v>0.15</v>
      </c>
      <c r="H5" s="180">
        <f>G5*E5*F5*D5</f>
        <v>449.99999999999994</v>
      </c>
      <c r="I5" s="307">
        <f>H5*E5</f>
        <v>1799.9999999999998</v>
      </c>
      <c r="J5" s="181"/>
    </row>
    <row r="6" spans="1:10" s="165" customFormat="1">
      <c r="A6" s="147"/>
      <c r="B6" s="174"/>
      <c r="C6" s="177"/>
      <c r="D6" s="178"/>
      <c r="E6" s="178"/>
      <c r="F6" s="179"/>
      <c r="G6" s="179"/>
      <c r="H6" s="180"/>
      <c r="I6" s="307"/>
      <c r="J6" s="181"/>
    </row>
    <row r="7" spans="1:10" s="165" customFormat="1">
      <c r="A7" s="147" t="str">
        <f>'Design Criteria'!C10</f>
        <v>A001</v>
      </c>
      <c r="B7" s="174" t="str">
        <f>'Design Criteria'!D10</f>
        <v>ENTRANCE</v>
      </c>
      <c r="C7" s="186"/>
      <c r="D7" s="167"/>
      <c r="E7" s="167"/>
      <c r="F7" s="168"/>
      <c r="G7" s="168"/>
      <c r="H7" s="180">
        <f t="shared" ref="H7:H27" si="0">G7*F7*D7</f>
        <v>0</v>
      </c>
      <c r="I7" s="307">
        <f t="shared" ref="I7:I27" si="1">H7*E7</f>
        <v>0</v>
      </c>
      <c r="J7" s="181">
        <f t="shared" ref="J7:J13" si="2">SUM(I7:I7)</f>
        <v>0</v>
      </c>
    </row>
    <row r="8" spans="1:10" s="165" customFormat="1">
      <c r="A8" s="147" t="str">
        <f>'Design Criteria'!C11</f>
        <v>A002</v>
      </c>
      <c r="B8" s="174" t="str">
        <f>'Design Criteria'!D11</f>
        <v>HANDLING AREA</v>
      </c>
      <c r="C8" s="419" t="s">
        <v>339</v>
      </c>
      <c r="D8" s="337">
        <v>1000</v>
      </c>
      <c r="E8" s="337">
        <v>3</v>
      </c>
      <c r="F8" s="179">
        <v>0.75</v>
      </c>
      <c r="G8" s="179">
        <v>0.15</v>
      </c>
      <c r="H8" s="180">
        <f>G8*E8*F8*D8</f>
        <v>337.49999999999994</v>
      </c>
      <c r="I8" s="307">
        <f>H8*E8</f>
        <v>1012.4999999999998</v>
      </c>
      <c r="J8" s="181">
        <f>SUM(I8:I10)</f>
        <v>1462.4999999999998</v>
      </c>
    </row>
    <row r="9" spans="1:10" s="165" customFormat="1">
      <c r="A9" s="147"/>
      <c r="B9" s="174"/>
      <c r="C9" s="419" t="s">
        <v>340</v>
      </c>
      <c r="D9" s="338">
        <v>2000</v>
      </c>
      <c r="E9" s="338">
        <v>1</v>
      </c>
      <c r="F9" s="168">
        <v>0.5</v>
      </c>
      <c r="G9" s="168">
        <v>0.15</v>
      </c>
      <c r="H9" s="180">
        <f>G9*F9*D9</f>
        <v>150</v>
      </c>
      <c r="I9" s="307">
        <f>H9*E9</f>
        <v>150</v>
      </c>
      <c r="J9" s="181"/>
    </row>
    <row r="10" spans="1:10" s="165" customFormat="1">
      <c r="A10" s="147"/>
      <c r="B10" s="174"/>
      <c r="C10" s="419" t="s">
        <v>341</v>
      </c>
      <c r="D10" s="338">
        <v>4000</v>
      </c>
      <c r="E10" s="338">
        <v>1</v>
      </c>
      <c r="F10" s="168">
        <v>0.5</v>
      </c>
      <c r="G10" s="168">
        <v>0.15</v>
      </c>
      <c r="H10" s="180">
        <f t="shared" ref="H10" si="3">G10*F10*D10</f>
        <v>300</v>
      </c>
      <c r="I10" s="307">
        <f t="shared" ref="I10" si="4">H10*E10</f>
        <v>300</v>
      </c>
      <c r="J10" s="181"/>
    </row>
    <row r="11" spans="1:10" s="165" customFormat="1">
      <c r="A11" s="147" t="str">
        <f>'Design Criteria'!C12</f>
        <v>A101</v>
      </c>
      <c r="B11" s="174" t="str">
        <f>'Design Criteria'!D12</f>
        <v>FILTER AGAINST FIRE</v>
      </c>
      <c r="C11" s="172"/>
      <c r="D11" s="167"/>
      <c r="E11" s="167"/>
      <c r="F11" s="168"/>
      <c r="G11" s="168"/>
      <c r="H11" s="180"/>
      <c r="I11" s="307"/>
      <c r="J11" s="181">
        <f t="shared" si="2"/>
        <v>0</v>
      </c>
    </row>
    <row r="12" spans="1:10" s="165" customFormat="1">
      <c r="A12" s="147" t="str">
        <f>'Design Criteria'!C13</f>
        <v>A102</v>
      </c>
      <c r="B12" s="174" t="str">
        <f>'Design Criteria'!D13</f>
        <v>AIRLOCK VT</v>
      </c>
      <c r="C12" s="186"/>
      <c r="D12" s="167"/>
      <c r="E12" s="167"/>
      <c r="F12" s="168"/>
      <c r="G12" s="168"/>
      <c r="H12" s="180">
        <f t="shared" si="0"/>
        <v>0</v>
      </c>
      <c r="I12" s="307">
        <f t="shared" si="1"/>
        <v>0</v>
      </c>
      <c r="J12" s="181">
        <f t="shared" si="2"/>
        <v>0</v>
      </c>
    </row>
    <row r="13" spans="1:10" s="165" customFormat="1">
      <c r="A13" s="147" t="str">
        <f>'Design Criteria'!C14</f>
        <v>A103</v>
      </c>
      <c r="B13" s="174" t="str">
        <f>'Design Criteria'!D14</f>
        <v>CORRIDOR</v>
      </c>
      <c r="C13" s="309"/>
      <c r="D13" s="178"/>
      <c r="E13" s="167"/>
      <c r="F13" s="168"/>
      <c r="G13" s="168"/>
      <c r="H13" s="180"/>
      <c r="I13" s="307"/>
      <c r="J13" s="181">
        <f t="shared" si="2"/>
        <v>0</v>
      </c>
    </row>
    <row r="14" spans="1:10" s="165" customFormat="1">
      <c r="A14" s="147" t="str">
        <f>'Design Criteria'!C20</f>
        <v>A104</v>
      </c>
      <c r="B14" s="174" t="str">
        <f>'Design Criteria'!D20</f>
        <v>MALE CHANGING ROOM</v>
      </c>
      <c r="C14" s="186"/>
      <c r="D14" s="167"/>
      <c r="E14" s="167"/>
      <c r="F14" s="168"/>
      <c r="G14" s="168"/>
      <c r="H14" s="180">
        <f t="shared" si="0"/>
        <v>0</v>
      </c>
      <c r="I14" s="307">
        <f t="shared" si="1"/>
        <v>0</v>
      </c>
      <c r="J14" s="181">
        <f t="shared" ref="J14:J17" si="5">SUM(I14:I14)</f>
        <v>0</v>
      </c>
    </row>
    <row r="15" spans="1:10" s="165" customFormat="1">
      <c r="A15" s="147" t="str">
        <f>'Design Criteria'!C21</f>
        <v>A105</v>
      </c>
      <c r="B15" s="174" t="str">
        <f>'Design Criteria'!D21</f>
        <v>MALE WC</v>
      </c>
      <c r="C15" s="186"/>
      <c r="D15" s="167"/>
      <c r="E15" s="167"/>
      <c r="F15" s="168"/>
      <c r="G15" s="168"/>
      <c r="H15" s="180">
        <f t="shared" si="0"/>
        <v>0</v>
      </c>
      <c r="I15" s="307">
        <f t="shared" si="1"/>
        <v>0</v>
      </c>
      <c r="J15" s="181">
        <f t="shared" si="5"/>
        <v>0</v>
      </c>
    </row>
    <row r="16" spans="1:10" s="165" customFormat="1">
      <c r="A16" s="147" t="str">
        <f>'Design Criteria'!C22</f>
        <v>A106</v>
      </c>
      <c r="B16" s="174" t="str">
        <f>'Design Criteria'!D22</f>
        <v>FEMALE WC</v>
      </c>
      <c r="C16" s="186"/>
      <c r="D16" s="167"/>
      <c r="E16" s="167"/>
      <c r="F16" s="168"/>
      <c r="G16" s="168"/>
      <c r="H16" s="180">
        <f t="shared" si="0"/>
        <v>0</v>
      </c>
      <c r="I16" s="307">
        <f t="shared" si="1"/>
        <v>0</v>
      </c>
      <c r="J16" s="181">
        <f t="shared" si="5"/>
        <v>0</v>
      </c>
    </row>
    <row r="17" spans="1:10" s="165" customFormat="1">
      <c r="A17" s="147" t="str">
        <f>'Design Criteria'!C23</f>
        <v>A107</v>
      </c>
      <c r="B17" s="174" t="str">
        <f>'Design Criteria'!D23</f>
        <v>FEMALE CHANGING ROOM</v>
      </c>
      <c r="C17" s="172"/>
      <c r="D17" s="167"/>
      <c r="E17" s="167"/>
      <c r="F17" s="168"/>
      <c r="G17" s="168"/>
      <c r="H17" s="180"/>
      <c r="I17" s="307"/>
      <c r="J17" s="181">
        <f t="shared" si="5"/>
        <v>0</v>
      </c>
    </row>
    <row r="18" spans="1:10" s="165" customFormat="1">
      <c r="A18" s="147" t="str">
        <f>'Design Criteria'!C24</f>
        <v>A110</v>
      </c>
      <c r="B18" s="174" t="str">
        <f>'Design Criteria'!D24</f>
        <v>SUPERVISOR ROOM</v>
      </c>
      <c r="C18" s="172" t="s">
        <v>529</v>
      </c>
      <c r="D18" s="178">
        <v>500</v>
      </c>
      <c r="E18" s="178">
        <v>1</v>
      </c>
      <c r="F18" s="179">
        <v>1</v>
      </c>
      <c r="G18" s="179">
        <v>0.15</v>
      </c>
      <c r="H18" s="180">
        <f t="shared" ref="H18:H19" si="6">G18*F18*D18</f>
        <v>75</v>
      </c>
      <c r="I18" s="307">
        <f t="shared" ref="I18" si="7">H18*E18</f>
        <v>75</v>
      </c>
      <c r="J18" s="181">
        <f>SUM(I18)</f>
        <v>75</v>
      </c>
    </row>
    <row r="19" spans="1:10" s="165" customFormat="1">
      <c r="A19" s="147" t="str">
        <f>'Design Criteria'!C25</f>
        <v>A109</v>
      </c>
      <c r="B19" s="174" t="str">
        <f>'Design Criteria'!D25</f>
        <v>UPS ROOM</v>
      </c>
      <c r="C19" s="309" t="s">
        <v>530</v>
      </c>
      <c r="D19" s="178"/>
      <c r="E19" s="178"/>
      <c r="F19" s="179"/>
      <c r="G19" s="179"/>
      <c r="H19" s="180">
        <f t="shared" si="6"/>
        <v>0</v>
      </c>
      <c r="I19" s="307">
        <f>(5.5)*1000</f>
        <v>5500</v>
      </c>
      <c r="J19" s="181">
        <f>SUM(I19:I19)</f>
        <v>5500</v>
      </c>
    </row>
    <row r="20" spans="1:10" s="165" customFormat="1">
      <c r="A20" s="147"/>
      <c r="B20" s="174"/>
      <c r="C20" s="172"/>
      <c r="D20" s="167"/>
      <c r="E20" s="342"/>
      <c r="F20" s="168"/>
      <c r="G20" s="168"/>
      <c r="H20" s="180"/>
      <c r="I20" s="307"/>
      <c r="J20" s="181"/>
    </row>
    <row r="21" spans="1:10" s="165" customFormat="1">
      <c r="A21" s="147" t="str">
        <f>'Design Criteria'!C38</f>
        <v>E102</v>
      </c>
      <c r="B21" s="174" t="str">
        <f>'Design Criteria'!D38</f>
        <v>ELECTRIC ROOM</v>
      </c>
      <c r="C21" s="172"/>
      <c r="D21" s="167"/>
      <c r="E21" s="342"/>
      <c r="F21" s="179">
        <v>1</v>
      </c>
      <c r="G21" s="179">
        <v>0.15</v>
      </c>
      <c r="H21" s="180">
        <f t="shared" ref="H21" si="8">G21*F21*D21</f>
        <v>0</v>
      </c>
      <c r="I21" s="307">
        <f>(4.1+2)*1000</f>
        <v>6100</v>
      </c>
      <c r="J21" s="181">
        <f>SUM(I21:I21)</f>
        <v>6100</v>
      </c>
    </row>
    <row r="22" spans="1:10" s="165" customFormat="1">
      <c r="A22" s="147"/>
      <c r="B22" s="174"/>
      <c r="C22" s="172"/>
      <c r="D22" s="167"/>
      <c r="E22" s="342"/>
      <c r="F22" s="168"/>
      <c r="G22" s="168"/>
      <c r="H22" s="180"/>
      <c r="I22" s="307"/>
      <c r="J22" s="181"/>
    </row>
    <row r="23" spans="1:10" s="165" customFormat="1">
      <c r="A23" s="147" t="str">
        <f>'Design Criteria'!C15</f>
        <v>0428</v>
      </c>
      <c r="B23" s="174" t="str">
        <f>'Design Criteria'!D15</f>
        <v>PREDISPOSITION TO DS</v>
      </c>
      <c r="C23" s="308" t="s">
        <v>365</v>
      </c>
      <c r="D23" s="178">
        <v>1000</v>
      </c>
      <c r="E23" s="167">
        <v>12</v>
      </c>
      <c r="F23" s="168">
        <v>1</v>
      </c>
      <c r="G23" s="168">
        <v>0.9</v>
      </c>
      <c r="H23" s="180">
        <f t="shared" ref="H23" si="9">G23*F23*D23</f>
        <v>900</v>
      </c>
      <c r="I23" s="307">
        <f t="shared" ref="I23" si="10">H23*E23</f>
        <v>10800</v>
      </c>
      <c r="J23" s="181">
        <f>SUM(I23)</f>
        <v>10800</v>
      </c>
    </row>
    <row r="24" spans="1:10" s="165" customFormat="1">
      <c r="A24" s="147"/>
      <c r="B24" s="174"/>
      <c r="C24" s="172"/>
      <c r="D24" s="167"/>
      <c r="E24" s="167"/>
      <c r="F24" s="168"/>
      <c r="G24" s="168"/>
      <c r="H24" s="180"/>
      <c r="I24" s="307"/>
      <c r="J24" s="181"/>
    </row>
    <row r="25" spans="1:10" s="165" customFormat="1">
      <c r="A25" s="147" t="str">
        <f>'Design Criteria'!C34</f>
        <v>B001</v>
      </c>
      <c r="B25" s="174" t="str">
        <f>'Design Criteria'!D34</f>
        <v>DS STORAGE</v>
      </c>
      <c r="C25" s="308" t="s">
        <v>365</v>
      </c>
      <c r="D25" s="178">
        <v>1000</v>
      </c>
      <c r="E25" s="167">
        <v>5</v>
      </c>
      <c r="F25" s="168">
        <v>1</v>
      </c>
      <c r="G25" s="168">
        <v>0.9</v>
      </c>
      <c r="H25" s="180">
        <f t="shared" ref="H25" si="11">G25*F25*D25</f>
        <v>900</v>
      </c>
      <c r="I25" s="307">
        <f t="shared" ref="I25" si="12">H25*E25</f>
        <v>4500</v>
      </c>
      <c r="J25" s="181">
        <f>SUM(I25)</f>
        <v>4500</v>
      </c>
    </row>
    <row r="26" spans="1:10" s="165" customFormat="1">
      <c r="A26" s="147" t="str">
        <f>'Design Criteria'!C35</f>
        <v>B002</v>
      </c>
      <c r="B26" s="174" t="str">
        <f>'Design Criteria'!D35</f>
        <v>CHECK ROOM/AIRLOCK</v>
      </c>
      <c r="C26" s="308" t="s">
        <v>365</v>
      </c>
      <c r="D26" s="178">
        <v>1000</v>
      </c>
      <c r="E26" s="167">
        <v>1</v>
      </c>
      <c r="F26" s="168">
        <v>1</v>
      </c>
      <c r="G26" s="168">
        <v>0.9</v>
      </c>
      <c r="H26" s="180">
        <f t="shared" ref="H26" si="13">G26*F26*D26</f>
        <v>900</v>
      </c>
      <c r="I26" s="307">
        <f t="shared" ref="I26" si="14">H26*E26</f>
        <v>900</v>
      </c>
      <c r="J26" s="181">
        <f>SUM(I26)</f>
        <v>900</v>
      </c>
    </row>
    <row r="27" spans="1:10" s="165" customFormat="1">
      <c r="A27" s="147" t="str">
        <f>'Design Criteria'!C36</f>
        <v>B003</v>
      </c>
      <c r="B27" s="174" t="str">
        <f>'Design Criteria'!D36</f>
        <v>RECEIVING</v>
      </c>
      <c r="C27" s="177"/>
      <c r="D27" s="167"/>
      <c r="E27" s="167"/>
      <c r="F27" s="168"/>
      <c r="G27" s="168"/>
      <c r="H27" s="180">
        <f t="shared" si="0"/>
        <v>0</v>
      </c>
      <c r="I27" s="307">
        <f t="shared" si="1"/>
        <v>0</v>
      </c>
      <c r="J27" s="181">
        <f t="shared" ref="J27" si="15">SUM(I27:I27)</f>
        <v>0</v>
      </c>
    </row>
    <row r="28" spans="1:10" s="165" customFormat="1">
      <c r="A28" s="147"/>
      <c r="B28" s="174"/>
      <c r="C28" s="177"/>
      <c r="D28" s="167"/>
      <c r="E28" s="167"/>
      <c r="F28" s="168"/>
      <c r="G28" s="168"/>
      <c r="H28" s="180"/>
      <c r="I28" s="307"/>
      <c r="J28" s="181"/>
    </row>
    <row r="29" spans="1:10" s="165" customFormat="1">
      <c r="A29" s="147" t="str">
        <f>'Design Criteria'!C28</f>
        <v>E003</v>
      </c>
      <c r="B29" s="174" t="str">
        <f>'Design Criteria'!D28</f>
        <v>LOGISTIC AIRLOCK IN</v>
      </c>
      <c r="C29" s="177"/>
      <c r="D29" s="167"/>
      <c r="E29" s="167"/>
      <c r="F29" s="168"/>
      <c r="G29" s="168"/>
      <c r="H29" s="180">
        <f t="shared" ref="H29" si="16">G29*F29*D29</f>
        <v>0</v>
      </c>
      <c r="I29" s="307">
        <f t="shared" ref="I29" si="17">H29*E29</f>
        <v>0</v>
      </c>
      <c r="J29" s="181">
        <f t="shared" ref="J29" si="18">SUM(I29:I29)</f>
        <v>0</v>
      </c>
    </row>
    <row r="30" spans="1:10" s="165" customFormat="1">
      <c r="A30" s="147" t="str">
        <f>'Design Criteria'!C27</f>
        <v>E002</v>
      </c>
      <c r="B30" s="174" t="str">
        <f>'Design Criteria'!D27</f>
        <v>LOGISTIC AIRLOCK OUT</v>
      </c>
      <c r="C30" s="177"/>
      <c r="D30" s="167"/>
      <c r="E30" s="167"/>
      <c r="F30" s="168"/>
      <c r="G30" s="168"/>
      <c r="H30" s="180">
        <f t="shared" ref="H30" si="19">G30*F30*D30</f>
        <v>0</v>
      </c>
      <c r="I30" s="307">
        <f t="shared" ref="I30" si="20">H30*E30</f>
        <v>0</v>
      </c>
      <c r="J30" s="181">
        <f t="shared" ref="J30" si="21">SUM(I30:I30)</f>
        <v>0</v>
      </c>
    </row>
    <row r="31" spans="1:10" s="165" customFormat="1">
      <c r="A31" s="147"/>
      <c r="B31" s="174"/>
      <c r="C31" s="177"/>
      <c r="D31" s="167"/>
      <c r="E31" s="167"/>
      <c r="F31" s="168"/>
      <c r="G31" s="168"/>
      <c r="H31" s="180"/>
      <c r="I31" s="307"/>
      <c r="J31" s="181"/>
    </row>
    <row r="32" spans="1:10" s="165" customFormat="1">
      <c r="A32" s="147" t="str">
        <f>'Design Criteria'!C30</f>
        <v>0605/0311</v>
      </c>
      <c r="B32" s="174" t="str">
        <f>'Design Criteria'!D30</f>
        <v>WAREHOUSE NORTH SIDE / CORRIDOR</v>
      </c>
      <c r="C32" s="419" t="s">
        <v>320</v>
      </c>
      <c r="D32" s="337">
        <v>3000</v>
      </c>
      <c r="E32" s="337">
        <v>4</v>
      </c>
      <c r="F32" s="179">
        <v>0.35</v>
      </c>
      <c r="G32" s="179">
        <v>0.15</v>
      </c>
      <c r="H32" s="180">
        <f>G32*E32*F32*D32</f>
        <v>630</v>
      </c>
      <c r="I32" s="307">
        <f>H32*E32</f>
        <v>2520</v>
      </c>
      <c r="J32" s="181">
        <f>SUM(I32)</f>
        <v>2520</v>
      </c>
    </row>
    <row r="33" spans="1:10" s="165" customFormat="1">
      <c r="A33" s="147" t="str">
        <f>'Design Criteria'!C31</f>
        <v>0606</v>
      </c>
      <c r="B33" s="174" t="str">
        <f>'Design Criteria'!D31</f>
        <v>NO BETA AREA CORRIDOR</v>
      </c>
      <c r="C33" s="177"/>
      <c r="D33" s="178"/>
      <c r="E33" s="178"/>
      <c r="F33" s="179"/>
      <c r="G33" s="179"/>
      <c r="H33" s="180">
        <f t="shared" ref="H33" si="22">G33*F33*D33</f>
        <v>0</v>
      </c>
      <c r="I33" s="307">
        <f t="shared" ref="I33" si="23">H33*E33</f>
        <v>0</v>
      </c>
      <c r="J33" s="181">
        <f t="shared" ref="J33" si="24">SUM(I33:I33)</f>
        <v>0</v>
      </c>
    </row>
    <row r="34" spans="1:10" s="165" customFormat="1">
      <c r="A34" s="147" t="str">
        <f>'Design Criteria'!C32</f>
        <v>0615</v>
      </c>
      <c r="B34" s="174" t="str">
        <f>'Design Criteria'!D32</f>
        <v>WASTE MATERIAL EXIT</v>
      </c>
      <c r="C34" s="177"/>
      <c r="D34" s="178"/>
      <c r="E34" s="178"/>
      <c r="F34" s="179"/>
      <c r="G34" s="179"/>
      <c r="H34" s="180">
        <f t="shared" ref="H34" si="25">G34*F34*D34</f>
        <v>0</v>
      </c>
      <c r="I34" s="307">
        <f t="shared" ref="I34" si="26">H34*E34</f>
        <v>0</v>
      </c>
      <c r="J34" s="181">
        <f t="shared" ref="J34" si="27">SUM(I34:I34)</f>
        <v>0</v>
      </c>
    </row>
    <row r="35" spans="1:10" s="165" customFormat="1">
      <c r="A35" s="147"/>
      <c r="B35" s="174"/>
      <c r="C35" s="177"/>
      <c r="D35" s="178"/>
      <c r="E35" s="178"/>
      <c r="F35" s="179"/>
      <c r="G35" s="179"/>
      <c r="H35" s="180"/>
      <c r="I35" s="307"/>
      <c r="J35" s="181"/>
    </row>
    <row r="36" spans="1:10" s="165" customFormat="1">
      <c r="A36" s="122"/>
      <c r="B36" s="171"/>
      <c r="C36" s="176"/>
      <c r="D36" s="167"/>
      <c r="E36" s="167"/>
      <c r="F36" s="168"/>
      <c r="G36" s="168"/>
      <c r="H36" s="180"/>
      <c r="I36" s="181"/>
      <c r="J36" s="181"/>
    </row>
    <row r="37" spans="1:10" ht="16.5" customHeight="1">
      <c r="A37" s="122"/>
      <c r="B37" s="171"/>
      <c r="C37" s="176"/>
      <c r="D37" s="167"/>
      <c r="E37" s="167"/>
      <c r="F37" s="168"/>
      <c r="G37" s="168"/>
      <c r="H37" s="182" t="s">
        <v>11</v>
      </c>
      <c r="I37" s="181"/>
      <c r="J37" s="181">
        <f>SUM(J4:J36)</f>
        <v>33657.5</v>
      </c>
    </row>
    <row r="38" spans="1:10">
      <c r="H38" s="1"/>
      <c r="I38" s="1"/>
    </row>
    <row r="44" spans="1:10">
      <c r="B44" s="3"/>
    </row>
    <row r="64" spans="7:7">
      <c r="G64" s="123">
        <v>44697</v>
      </c>
    </row>
    <row r="65" spans="7:7">
      <c r="G65" s="123">
        <v>44697</v>
      </c>
    </row>
  </sheetData>
  <mergeCells count="7">
    <mergeCell ref="A1:J1"/>
    <mergeCell ref="G2:G3"/>
    <mergeCell ref="C2:C3"/>
    <mergeCell ref="F2:F3"/>
    <mergeCell ref="E2:E3"/>
    <mergeCell ref="A2:A3"/>
    <mergeCell ref="B2:B3"/>
  </mergeCells>
  <pageMargins left="0.19685039370078741" right="0.55118110236220474" top="0.74803149606299213" bottom="0.70866141732283472" header="0.31496062992125984" footer="0.31496062992125984"/>
  <pageSetup paperSize="8" scale="64" fitToHeight="0" orientation="landscape" r:id="rId1"/>
  <headerFooter>
    <oddHeader>&amp;R&amp;D</oddHeader>
    <oddFooter>&amp;L&amp;F - &amp;A&amp;R&amp;P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C95"/>
  <sheetViews>
    <sheetView zoomScaleNormal="100" workbookViewId="0">
      <selection activeCell="I71" sqref="I71"/>
    </sheetView>
  </sheetViews>
  <sheetFormatPr defaultColWidth="8.88671875" defaultRowHeight="13.2"/>
  <cols>
    <col min="1" max="1" width="36" style="191" bestFit="1" customWidth="1"/>
    <col min="2" max="2" width="8.44140625" style="191" customWidth="1"/>
    <col min="3" max="3" width="11.5546875" style="191" customWidth="1"/>
    <col min="4" max="4" width="6.109375" style="191" bestFit="1" customWidth="1"/>
    <col min="5" max="5" width="15.44140625" style="191" customWidth="1"/>
    <col min="6" max="6" width="12.6640625" style="191" customWidth="1"/>
    <col min="7" max="7" width="6.109375" style="191" bestFit="1" customWidth="1"/>
    <col min="8" max="8" width="15.44140625" style="191" customWidth="1"/>
    <col min="9" max="9" width="12.6640625" style="191" customWidth="1"/>
    <col min="10" max="10" width="6.109375" style="191" bestFit="1" customWidth="1"/>
    <col min="11" max="11" width="15.5546875" style="191" customWidth="1"/>
    <col min="12" max="12" width="12.6640625" style="191" customWidth="1"/>
    <col min="13" max="13" width="7.109375" style="191" bestFit="1" customWidth="1"/>
    <col min="14" max="14" width="15.44140625" style="191" customWidth="1"/>
    <col min="15" max="15" width="12.6640625" style="191" customWidth="1"/>
    <col min="16" max="16" width="6.109375" style="191" customWidth="1"/>
    <col min="17" max="17" width="15.44140625" style="191" customWidth="1"/>
    <col min="18" max="18" width="12.6640625" style="191" customWidth="1"/>
    <col min="19" max="19" width="6.109375" style="191" customWidth="1"/>
    <col min="20" max="20" width="15.33203125" style="191" customWidth="1"/>
    <col min="21" max="21" width="12.6640625" style="191" customWidth="1"/>
    <col min="22" max="23" width="18.88671875" style="191" bestFit="1" customWidth="1"/>
    <col min="24" max="24" width="15.88671875" style="191" customWidth="1"/>
    <col min="25" max="25" width="10.88671875" style="191" customWidth="1"/>
    <col min="26" max="26" width="11" style="191" customWidth="1"/>
    <col min="27" max="27" width="8.88671875" style="191"/>
    <col min="28" max="28" width="15.33203125" style="191" customWidth="1"/>
    <col min="29" max="16384" width="8.88671875" style="191"/>
  </cols>
  <sheetData>
    <row r="1" spans="1:29" ht="18" customHeight="1">
      <c r="A1" s="707" t="s">
        <v>29</v>
      </c>
      <c r="B1" s="708"/>
      <c r="C1" s="711" t="s">
        <v>191</v>
      </c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</row>
    <row r="2" spans="1:29" s="235" customFormat="1" ht="46.2" customHeight="1">
      <c r="A2" s="709"/>
      <c r="B2" s="710"/>
      <c r="C2" s="712" t="s">
        <v>192</v>
      </c>
      <c r="D2" s="712" t="s">
        <v>246</v>
      </c>
      <c r="E2" s="712"/>
      <c r="F2" s="712"/>
      <c r="G2" s="712" t="s">
        <v>342</v>
      </c>
      <c r="H2" s="712"/>
      <c r="I2" s="712"/>
      <c r="J2" s="712" t="s">
        <v>193</v>
      </c>
      <c r="K2" s="712"/>
      <c r="L2" s="712"/>
      <c r="M2" s="712" t="s">
        <v>194</v>
      </c>
      <c r="N2" s="712"/>
      <c r="O2" s="712"/>
      <c r="P2" s="712" t="s">
        <v>248</v>
      </c>
      <c r="Q2" s="712"/>
      <c r="R2" s="712"/>
      <c r="S2" s="712" t="s">
        <v>249</v>
      </c>
      <c r="T2" s="712"/>
      <c r="U2" s="712"/>
      <c r="V2" s="216" t="s">
        <v>195</v>
      </c>
      <c r="W2" s="216" t="s">
        <v>196</v>
      </c>
      <c r="X2" s="216" t="s">
        <v>197</v>
      </c>
      <c r="Y2" s="216" t="s">
        <v>198</v>
      </c>
      <c r="Z2" s="713" t="s">
        <v>199</v>
      </c>
    </row>
    <row r="3" spans="1:29">
      <c r="A3" s="236" t="s">
        <v>8</v>
      </c>
      <c r="B3" s="215" t="s">
        <v>85</v>
      </c>
      <c r="C3" s="711"/>
      <c r="D3" s="192" t="s">
        <v>200</v>
      </c>
      <c r="E3" s="192" t="s">
        <v>201</v>
      </c>
      <c r="F3" s="192" t="s">
        <v>202</v>
      </c>
      <c r="G3" s="192" t="s">
        <v>200</v>
      </c>
      <c r="H3" s="192" t="s">
        <v>201</v>
      </c>
      <c r="I3" s="192" t="s">
        <v>202</v>
      </c>
      <c r="J3" s="192" t="s">
        <v>200</v>
      </c>
      <c r="K3" s="192" t="s">
        <v>201</v>
      </c>
      <c r="L3" s="192" t="s">
        <v>202</v>
      </c>
      <c r="M3" s="192" t="s">
        <v>200</v>
      </c>
      <c r="N3" s="192" t="s">
        <v>201</v>
      </c>
      <c r="O3" s="192" t="s">
        <v>202</v>
      </c>
      <c r="P3" s="192" t="s">
        <v>200</v>
      </c>
      <c r="Q3" s="192" t="s">
        <v>201</v>
      </c>
      <c r="R3" s="192" t="s">
        <v>202</v>
      </c>
      <c r="S3" s="192" t="s">
        <v>200</v>
      </c>
      <c r="T3" s="192" t="s">
        <v>201</v>
      </c>
      <c r="U3" s="192" t="s">
        <v>202</v>
      </c>
      <c r="V3" s="192" t="s">
        <v>202</v>
      </c>
      <c r="W3" s="192" t="s">
        <v>202</v>
      </c>
      <c r="X3" s="192" t="s">
        <v>202</v>
      </c>
      <c r="Y3" s="192"/>
      <c r="Z3" s="714"/>
      <c r="AA3" s="193" t="s">
        <v>203</v>
      </c>
      <c r="AB3" s="193"/>
    </row>
    <row r="4" spans="1:29">
      <c r="A4" s="199" t="str">
        <f>'Design Criteria'!D15</f>
        <v>PREDISPOSITION TO DS</v>
      </c>
      <c r="B4" s="237" t="str">
        <f>'Design Criteria'!C15</f>
        <v>0428</v>
      </c>
      <c r="C4" s="211">
        <f>'Design Criteria'!M15</f>
        <v>22</v>
      </c>
      <c r="D4" s="211">
        <v>15</v>
      </c>
      <c r="E4" s="211">
        <f>'Design Criteria'!J15</f>
        <v>63.81</v>
      </c>
      <c r="F4" s="195">
        <v>0</v>
      </c>
      <c r="G4" s="211">
        <v>30</v>
      </c>
      <c r="H4" s="211">
        <v>0</v>
      </c>
      <c r="I4" s="239">
        <f>$E$24*H4*(-C4+G4)</f>
        <v>0</v>
      </c>
      <c r="J4" s="211">
        <f>'Design Criteria'!$M$46</f>
        <v>36</v>
      </c>
      <c r="K4" s="238">
        <v>0</v>
      </c>
      <c r="L4" s="239">
        <f>$E$19*K4*(-C4+J4)</f>
        <v>0</v>
      </c>
      <c r="M4" s="211">
        <f>'Design Criteria'!$M$46</f>
        <v>36</v>
      </c>
      <c r="N4" s="197">
        <f>(14+5)*3</f>
        <v>57</v>
      </c>
      <c r="O4" s="239">
        <f>$E$21*N4*(M4-C4)</f>
        <v>286.31182652653985</v>
      </c>
      <c r="P4" s="211">
        <f>'Design Criteria'!$M$46</f>
        <v>36</v>
      </c>
      <c r="Q4" s="238">
        <f>(12.5+3.5)*1</f>
        <v>16</v>
      </c>
      <c r="R4" s="239">
        <f>$E$23*Q4*(P4-C4)</f>
        <v>560</v>
      </c>
      <c r="S4" s="211"/>
      <c r="T4" s="211"/>
      <c r="U4" s="195">
        <v>0</v>
      </c>
      <c r="V4" s="239">
        <f>MAX(SUM(P81)-L4,0)</f>
        <v>0</v>
      </c>
      <c r="W4" s="239">
        <f>SUM(M66:M67)</f>
        <v>2824.1346976744189</v>
      </c>
      <c r="X4" s="239">
        <f>MAX(SUM(P82:P85)-O4,0)</f>
        <v>46.391126779300237</v>
      </c>
      <c r="Y4" s="239">
        <v>1</v>
      </c>
      <c r="Z4" s="281">
        <f t="shared" ref="Z4:Z6" si="0">(F4+I4+O4+R4+U4+L4+V4+W4+X4)*Y4/1000</f>
        <v>3.716837650980259</v>
      </c>
      <c r="AA4" s="334">
        <f>(Z4)/'Design Criteria'!$L$15*1000</f>
        <v>21.573523544900421</v>
      </c>
      <c r="AB4" s="198"/>
    </row>
    <row r="5" spans="1:29">
      <c r="A5" s="351"/>
      <c r="B5" s="219"/>
      <c r="C5" s="211"/>
      <c r="D5" s="211"/>
      <c r="E5" s="211"/>
      <c r="F5" s="195"/>
      <c r="G5" s="211"/>
      <c r="H5" s="211"/>
      <c r="I5" s="239"/>
      <c r="J5" s="211"/>
      <c r="K5" s="238"/>
      <c r="L5" s="239"/>
      <c r="M5" s="211"/>
      <c r="N5" s="197"/>
      <c r="O5" s="239"/>
      <c r="P5" s="211"/>
      <c r="Q5" s="197"/>
      <c r="R5" s="239"/>
      <c r="S5" s="211"/>
      <c r="T5" s="211"/>
      <c r="U5" s="195"/>
      <c r="V5" s="239"/>
      <c r="W5" s="239"/>
      <c r="X5" s="239"/>
      <c r="Y5" s="239"/>
      <c r="Z5" s="281"/>
      <c r="AA5" s="334"/>
      <c r="AB5" s="198"/>
    </row>
    <row r="6" spans="1:29">
      <c r="A6" s="199" t="str">
        <f>'Design Criteria'!D31</f>
        <v>NO BETA AREA CORRIDOR</v>
      </c>
      <c r="B6" s="237" t="str">
        <f>'Design Criteria'!C31</f>
        <v>0606</v>
      </c>
      <c r="C6" s="211">
        <f>'Design Criteria'!M31</f>
        <v>22</v>
      </c>
      <c r="D6" s="211">
        <v>15</v>
      </c>
      <c r="E6" s="211">
        <f>'Design Criteria'!J31</f>
        <v>228</v>
      </c>
      <c r="F6" s="195">
        <v>0</v>
      </c>
      <c r="G6" s="211">
        <v>30</v>
      </c>
      <c r="H6" s="211">
        <v>0</v>
      </c>
      <c r="I6" s="239">
        <f>$E$24*H6*(-C6+G6)</f>
        <v>0</v>
      </c>
      <c r="J6" s="211">
        <f>'Design Criteria'!$M$46</f>
        <v>36</v>
      </c>
      <c r="K6" s="238">
        <v>0</v>
      </c>
      <c r="L6" s="239">
        <f>$E$19*K6*(-C6+J6)</f>
        <v>0</v>
      </c>
      <c r="M6" s="211">
        <f>'Design Criteria'!$M$46</f>
        <v>36</v>
      </c>
      <c r="N6" s="197">
        <f>(20)*3.9</f>
        <v>78</v>
      </c>
      <c r="O6" s="239">
        <f>$E$22*N6*(M6-C6)</f>
        <v>265.01610726176551</v>
      </c>
      <c r="P6" s="211">
        <f>'Design Criteria'!$M$46</f>
        <v>36</v>
      </c>
      <c r="Q6" s="197">
        <f>(20)*1</f>
        <v>20</v>
      </c>
      <c r="R6" s="239">
        <f>$E$23*Q6*(P6-C6)</f>
        <v>700</v>
      </c>
      <c r="S6" s="211"/>
      <c r="T6" s="211"/>
      <c r="U6" s="195">
        <v>0</v>
      </c>
      <c r="V6" s="239">
        <f>MAX(SUM(P89)-L6,0)</f>
        <v>0</v>
      </c>
      <c r="W6" s="239">
        <f>SUM(M71)</f>
        <v>4050.7534883720932</v>
      </c>
      <c r="X6" s="239">
        <f>MAX(SUM(P90:P93)-O6,0)</f>
        <v>283.49707618907934</v>
      </c>
      <c r="Y6" s="239">
        <v>1</v>
      </c>
      <c r="Z6" s="281">
        <f t="shared" si="0"/>
        <v>5.2992666718229371</v>
      </c>
      <c r="AA6" s="334">
        <f>(Z6)/'Design Criteria'!$L$31*1000</f>
        <v>6.886636350647092</v>
      </c>
      <c r="AB6" s="198"/>
    </row>
    <row r="7" spans="1:29">
      <c r="A7" s="351"/>
      <c r="B7" s="219"/>
      <c r="C7" s="211"/>
      <c r="D7" s="211"/>
      <c r="E7" s="211"/>
      <c r="F7" s="195"/>
      <c r="G7" s="211"/>
      <c r="H7" s="211"/>
      <c r="I7" s="239"/>
      <c r="J7" s="211"/>
      <c r="K7" s="238"/>
      <c r="L7" s="239"/>
      <c r="M7" s="211"/>
      <c r="N7" s="197"/>
      <c r="O7" s="239"/>
      <c r="P7" s="211"/>
      <c r="Q7" s="197"/>
      <c r="R7" s="239"/>
      <c r="S7" s="211"/>
      <c r="T7" s="211"/>
      <c r="U7" s="195"/>
      <c r="V7" s="239"/>
      <c r="W7" s="239"/>
      <c r="X7" s="239"/>
      <c r="Y7" s="239"/>
      <c r="Z7" s="281"/>
      <c r="AA7" s="334"/>
      <c r="AB7" s="198"/>
    </row>
    <row r="8" spans="1:29" ht="18" customHeight="1">
      <c r="A8" s="715" t="s">
        <v>29</v>
      </c>
      <c r="B8" s="716"/>
      <c r="C8" s="717" t="s">
        <v>204</v>
      </c>
      <c r="D8" s="717"/>
      <c r="E8" s="717"/>
      <c r="F8" s="717"/>
      <c r="G8" s="717"/>
      <c r="H8" s="717"/>
      <c r="I8" s="717"/>
      <c r="J8" s="717"/>
      <c r="K8" s="717"/>
      <c r="L8" s="717"/>
      <c r="M8" s="717"/>
      <c r="N8" s="717"/>
      <c r="O8" s="717"/>
      <c r="P8" s="717"/>
      <c r="Q8" s="717"/>
      <c r="R8" s="717"/>
      <c r="S8" s="717"/>
      <c r="T8" s="717"/>
      <c r="U8" s="717"/>
      <c r="V8" s="717"/>
      <c r="W8" s="717"/>
      <c r="X8" s="717"/>
      <c r="Y8" s="717"/>
      <c r="Z8" s="717"/>
    </row>
    <row r="9" spans="1:29" s="235" customFormat="1" ht="46.2" customHeight="1">
      <c r="A9" s="709"/>
      <c r="B9" s="710"/>
      <c r="C9" s="717" t="s">
        <v>192</v>
      </c>
      <c r="D9" s="717" t="s">
        <v>246</v>
      </c>
      <c r="E9" s="717"/>
      <c r="F9" s="717"/>
      <c r="G9" s="717" t="s">
        <v>247</v>
      </c>
      <c r="H9" s="717"/>
      <c r="I9" s="717"/>
      <c r="J9" s="717" t="s">
        <v>193</v>
      </c>
      <c r="K9" s="717"/>
      <c r="L9" s="717"/>
      <c r="M9" s="717" t="s">
        <v>194</v>
      </c>
      <c r="N9" s="717"/>
      <c r="O9" s="717"/>
      <c r="P9" s="717" t="s">
        <v>248</v>
      </c>
      <c r="Q9" s="717"/>
      <c r="R9" s="717"/>
      <c r="S9" s="717" t="s">
        <v>249</v>
      </c>
      <c r="T9" s="717"/>
      <c r="U9" s="717"/>
      <c r="V9" s="243" t="s">
        <v>195</v>
      </c>
      <c r="W9" s="243" t="s">
        <v>196</v>
      </c>
      <c r="X9" s="243" t="s">
        <v>197</v>
      </c>
      <c r="Y9" s="243" t="s">
        <v>198</v>
      </c>
      <c r="Z9" s="718" t="s">
        <v>199</v>
      </c>
      <c r="AB9" s="191"/>
    </row>
    <row r="10" spans="1:29">
      <c r="A10" s="236" t="s">
        <v>8</v>
      </c>
      <c r="B10" s="215" t="s">
        <v>85</v>
      </c>
      <c r="C10" s="720"/>
      <c r="D10" s="244" t="s">
        <v>200</v>
      </c>
      <c r="E10" s="244" t="s">
        <v>201</v>
      </c>
      <c r="F10" s="244" t="s">
        <v>202</v>
      </c>
      <c r="G10" s="244" t="s">
        <v>200</v>
      </c>
      <c r="H10" s="244" t="s">
        <v>201</v>
      </c>
      <c r="I10" s="244" t="s">
        <v>202</v>
      </c>
      <c r="J10" s="244" t="s">
        <v>200</v>
      </c>
      <c r="K10" s="244" t="s">
        <v>201</v>
      </c>
      <c r="L10" s="244" t="s">
        <v>202</v>
      </c>
      <c r="M10" s="244" t="s">
        <v>200</v>
      </c>
      <c r="N10" s="244" t="s">
        <v>201</v>
      </c>
      <c r="O10" s="244" t="s">
        <v>202</v>
      </c>
      <c r="P10" s="244" t="s">
        <v>200</v>
      </c>
      <c r="Q10" s="244" t="s">
        <v>201</v>
      </c>
      <c r="R10" s="244" t="s">
        <v>202</v>
      </c>
      <c r="S10" s="244" t="s">
        <v>200</v>
      </c>
      <c r="T10" s="244" t="s">
        <v>201</v>
      </c>
      <c r="U10" s="244" t="s">
        <v>202</v>
      </c>
      <c r="V10" s="244" t="s">
        <v>202</v>
      </c>
      <c r="W10" s="244" t="s">
        <v>202</v>
      </c>
      <c r="X10" s="244" t="s">
        <v>202</v>
      </c>
      <c r="Y10" s="244"/>
      <c r="Z10" s="719"/>
      <c r="AA10" s="193" t="s">
        <v>203</v>
      </c>
      <c r="AC10" s="193"/>
    </row>
    <row r="11" spans="1:29">
      <c r="A11" s="245" t="str">
        <f>A4</f>
        <v>PREDISPOSITION TO DS</v>
      </c>
      <c r="B11" s="246" t="str">
        <f>B4</f>
        <v>0428</v>
      </c>
      <c r="C11" s="211">
        <f>'Design Criteria'!Q15</f>
        <v>22</v>
      </c>
      <c r="D11" s="211">
        <v>10</v>
      </c>
      <c r="E11" s="251">
        <f>E4</f>
        <v>63.81</v>
      </c>
      <c r="F11" s="239">
        <f>-$E$18*E11*(D11-C11)</f>
        <v>215.60982403662769</v>
      </c>
      <c r="G11" s="211">
        <v>10</v>
      </c>
      <c r="H11" s="251">
        <f>H4</f>
        <v>0</v>
      </c>
      <c r="I11" s="239">
        <f>$E$24*H11*(C11-G11)</f>
        <v>0</v>
      </c>
      <c r="J11" s="211">
        <f>'Design Criteria'!$Q$46</f>
        <v>-5</v>
      </c>
      <c r="K11" s="251">
        <f>K4</f>
        <v>0</v>
      </c>
      <c r="L11" s="239">
        <f>$E$19*K11*(C11-J11)</f>
        <v>0</v>
      </c>
      <c r="M11" s="211">
        <f>'Design Criteria'!$Q$46</f>
        <v>-5</v>
      </c>
      <c r="N11" s="251">
        <f>N4</f>
        <v>57</v>
      </c>
      <c r="O11" s="239">
        <f>-$E$21*N11*(M11-C11)</f>
        <v>552.17280830118398</v>
      </c>
      <c r="P11" s="211">
        <f>'Design Criteria'!$Q$46</f>
        <v>-5</v>
      </c>
      <c r="Q11" s="240">
        <f>Q4</f>
        <v>16</v>
      </c>
      <c r="R11" s="239">
        <f>$E$23*Q11*(-P11+C11)</f>
        <v>1080</v>
      </c>
      <c r="S11" s="251">
        <f>S4</f>
        <v>0</v>
      </c>
      <c r="T11" s="251">
        <f>T4</f>
        <v>0</v>
      </c>
      <c r="U11" s="239">
        <f>-$E$20*T11*(S11-C11)</f>
        <v>0</v>
      </c>
      <c r="V11" s="239">
        <v>0</v>
      </c>
      <c r="W11" s="239">
        <v>0</v>
      </c>
      <c r="X11" s="239">
        <v>0</v>
      </c>
      <c r="Y11" s="241">
        <f>Y4</f>
        <v>1</v>
      </c>
      <c r="Z11" s="281">
        <f t="shared" ref="Z11" si="1">(F11+I11+O11+R11+U11+L11+V11+W11+X11)*Y11/1000</f>
        <v>1.8477826323378117</v>
      </c>
      <c r="AA11" s="334">
        <f>(Z11)/'Design Criteria'!$L$15*1000</f>
        <v>10.725026452012118</v>
      </c>
    </row>
    <row r="12" spans="1:29">
      <c r="A12" s="245"/>
      <c r="B12" s="246"/>
      <c r="C12" s="211"/>
      <c r="D12" s="211"/>
      <c r="E12" s="251"/>
      <c r="F12" s="239"/>
      <c r="G12" s="211"/>
      <c r="H12" s="251"/>
      <c r="I12" s="239"/>
      <c r="J12" s="211"/>
      <c r="K12" s="251"/>
      <c r="L12" s="239"/>
      <c r="M12" s="211"/>
      <c r="N12" s="251"/>
      <c r="O12" s="239"/>
      <c r="P12" s="211"/>
      <c r="Q12" s="240"/>
      <c r="R12" s="239"/>
      <c r="S12" s="251"/>
      <c r="T12" s="251"/>
      <c r="U12" s="239"/>
      <c r="V12" s="239"/>
      <c r="W12" s="239"/>
      <c r="X12" s="239"/>
      <c r="Y12" s="241"/>
      <c r="Z12" s="281"/>
      <c r="AA12" s="334"/>
    </row>
    <row r="13" spans="1:29">
      <c r="A13" s="245" t="str">
        <f>A6</f>
        <v>NO BETA AREA CORRIDOR</v>
      </c>
      <c r="B13" s="246" t="str">
        <f>B6</f>
        <v>0606</v>
      </c>
      <c r="C13" s="211">
        <f>'Design Criteria'!Q31</f>
        <v>22</v>
      </c>
      <c r="D13" s="211">
        <v>10</v>
      </c>
      <c r="E13" s="251">
        <f>E6</f>
        <v>228</v>
      </c>
      <c r="F13" s="239">
        <f>-$E$18*E13*(D13-C13)</f>
        <v>770.39711456434907</v>
      </c>
      <c r="G13" s="211">
        <v>10</v>
      </c>
      <c r="H13" s="251">
        <f>H6</f>
        <v>0</v>
      </c>
      <c r="I13" s="239">
        <f>$E$24*H13*(C13-G13)</f>
        <v>0</v>
      </c>
      <c r="J13" s="211">
        <f>'Design Criteria'!$Q$46</f>
        <v>-5</v>
      </c>
      <c r="K13" s="251">
        <f>K6</f>
        <v>0</v>
      </c>
      <c r="L13" s="239">
        <f>$E$19*K13*(C13-J13)</f>
        <v>0</v>
      </c>
      <c r="M13" s="211">
        <f>'Design Criteria'!$Q$46</f>
        <v>-5</v>
      </c>
      <c r="N13" s="251">
        <f>N6</f>
        <v>78</v>
      </c>
      <c r="O13" s="239">
        <f>-$E$21*N13*(M13-C13)</f>
        <v>755.60489557004144</v>
      </c>
      <c r="P13" s="211">
        <f>'Design Criteria'!$Q$46</f>
        <v>-5</v>
      </c>
      <c r="Q13" s="240">
        <f>Q6</f>
        <v>20</v>
      </c>
      <c r="R13" s="239">
        <f>$E$23*Q13*(-P13+C13)</f>
        <v>1350</v>
      </c>
      <c r="S13" s="251">
        <f>S6</f>
        <v>0</v>
      </c>
      <c r="T13" s="251">
        <f>T6</f>
        <v>0</v>
      </c>
      <c r="U13" s="239">
        <f>-$E$20*T13*(S13-C13)</f>
        <v>0</v>
      </c>
      <c r="V13" s="239">
        <v>0</v>
      </c>
      <c r="W13" s="239">
        <v>0</v>
      </c>
      <c r="X13" s="239">
        <v>0</v>
      </c>
      <c r="Y13" s="241">
        <f>Y6</f>
        <v>1</v>
      </c>
      <c r="Z13" s="281">
        <f t="shared" ref="Z13" si="2">(F13+I13+O13+R13+U13+L13+V13+W13+X13)*Y13/1000</f>
        <v>2.8760020101343908</v>
      </c>
      <c r="AA13" s="334">
        <f>(Z13)/'Design Criteria'!$L$31*1000</f>
        <v>3.7374944901031721</v>
      </c>
    </row>
    <row r="14" spans="1:29">
      <c r="A14" s="351"/>
      <c r="B14" s="219"/>
      <c r="C14" s="211"/>
      <c r="D14" s="211"/>
      <c r="E14" s="211"/>
      <c r="F14" s="195"/>
      <c r="G14" s="211"/>
      <c r="H14" s="211"/>
      <c r="I14" s="239"/>
      <c r="J14" s="211"/>
      <c r="K14" s="238"/>
      <c r="L14" s="239"/>
      <c r="M14" s="211"/>
      <c r="N14" s="197"/>
      <c r="O14" s="239"/>
      <c r="P14" s="211"/>
      <c r="Q14" s="197"/>
      <c r="R14" s="239"/>
      <c r="S14" s="211"/>
      <c r="T14" s="211"/>
      <c r="U14" s="195"/>
      <c r="V14" s="239"/>
      <c r="W14" s="239"/>
      <c r="X14" s="239"/>
      <c r="Y14" s="239"/>
      <c r="Z14" s="281"/>
      <c r="AA14" s="334"/>
    </row>
    <row r="15" spans="1:29">
      <c r="A15" s="200"/>
      <c r="B15" s="200"/>
      <c r="C15" s="200"/>
      <c r="D15" s="200"/>
      <c r="E15" s="201"/>
      <c r="F15" s="202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</row>
    <row r="16" spans="1:29">
      <c r="A16" s="200"/>
      <c r="B16" s="200"/>
      <c r="C16" s="200"/>
      <c r="D16" s="248" t="s">
        <v>370</v>
      </c>
      <c r="E16" s="249">
        <v>0.25</v>
      </c>
      <c r="F16" s="202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</row>
    <row r="17" spans="1:24">
      <c r="A17" s="203"/>
      <c r="B17" s="203"/>
      <c r="C17" s="203"/>
      <c r="D17" s="204" t="s">
        <v>205</v>
      </c>
      <c r="E17" s="205" t="s">
        <v>206</v>
      </c>
      <c r="F17" s="202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</row>
    <row r="18" spans="1:24">
      <c r="A18" s="206" t="s">
        <v>207</v>
      </c>
      <c r="B18" s="206"/>
      <c r="C18" s="194"/>
      <c r="D18" s="331">
        <f>SUM(F28:F31)^-1</f>
        <v>0.22526231420010204</v>
      </c>
      <c r="E18" s="238">
        <f>D18*(1+$E$16)</f>
        <v>0.28157789275012757</v>
      </c>
    </row>
    <row r="19" spans="1:24">
      <c r="A19" s="206" t="s">
        <v>208</v>
      </c>
      <c r="B19" s="206"/>
      <c r="C19" s="194"/>
      <c r="D19" s="331">
        <f>SUM(F34:F37)^-1</f>
        <v>0.33737879077398086</v>
      </c>
      <c r="E19" s="238">
        <f t="shared" ref="E19:E25" si="3">D19*(1+$E$16)</f>
        <v>0.42172348846747609</v>
      </c>
    </row>
    <row r="20" spans="1:24">
      <c r="A20" s="206" t="s">
        <v>250</v>
      </c>
      <c r="B20" s="206"/>
      <c r="C20" s="194"/>
      <c r="D20" s="331">
        <f>SUM(F40:F42)^-1</f>
        <v>0.2818181818181818</v>
      </c>
      <c r="E20" s="238">
        <f t="shared" si="3"/>
        <v>0.35227272727272724</v>
      </c>
    </row>
    <row r="21" spans="1:24">
      <c r="A21" s="206" t="s">
        <v>378</v>
      </c>
      <c r="B21" s="206"/>
      <c r="C21" s="194"/>
      <c r="D21" s="331">
        <f>SUM(F45:F47)^-1</f>
        <v>0.28702940002660637</v>
      </c>
      <c r="E21" s="238">
        <f t="shared" si="3"/>
        <v>0.358786750033258</v>
      </c>
    </row>
    <row r="22" spans="1:24">
      <c r="A22" s="206" t="s">
        <v>381</v>
      </c>
      <c r="B22" s="206"/>
      <c r="C22" s="194"/>
      <c r="D22" s="331">
        <f>SUM(F50:F52)^-1</f>
        <v>0.19415099433096375</v>
      </c>
      <c r="E22" s="238">
        <f t="shared" ref="E22" si="4">D22*(1+$E$16)</f>
        <v>0.24268874291370468</v>
      </c>
    </row>
    <row r="23" spans="1:24">
      <c r="A23" s="206" t="s">
        <v>251</v>
      </c>
      <c r="B23" s="206"/>
      <c r="C23" s="194"/>
      <c r="D23" s="332">
        <v>2</v>
      </c>
      <c r="E23" s="238">
        <f t="shared" si="3"/>
        <v>2.5</v>
      </c>
    </row>
    <row r="24" spans="1:24">
      <c r="A24" s="206" t="s">
        <v>252</v>
      </c>
      <c r="B24" s="206"/>
      <c r="C24" s="194"/>
      <c r="D24" s="331">
        <f>SUM(F55:F58)^-1</f>
        <v>0.61661696592855786</v>
      </c>
      <c r="E24" s="238">
        <f t="shared" si="3"/>
        <v>0.77077120741069738</v>
      </c>
    </row>
    <row r="25" spans="1:24">
      <c r="A25" s="206" t="s">
        <v>354</v>
      </c>
      <c r="B25" s="206"/>
      <c r="C25" s="194"/>
      <c r="D25" s="331">
        <f>SUM(F61:F63)^-1</f>
        <v>2.0911242603550297</v>
      </c>
      <c r="E25" s="238">
        <f t="shared" si="3"/>
        <v>2.6139053254437874</v>
      </c>
    </row>
    <row r="27" spans="1:24">
      <c r="A27" s="207" t="s">
        <v>253</v>
      </c>
      <c r="B27" s="207"/>
      <c r="C27" s="203" t="s">
        <v>210</v>
      </c>
      <c r="D27" s="203" t="s">
        <v>211</v>
      </c>
      <c r="E27" s="203" t="s">
        <v>212</v>
      </c>
      <c r="F27" s="208" t="s">
        <v>213</v>
      </c>
      <c r="G27" s="206"/>
      <c r="H27" s="203" t="s">
        <v>214</v>
      </c>
      <c r="I27" s="203" t="s">
        <v>215</v>
      </c>
      <c r="P27" s="200"/>
      <c r="Q27" s="200"/>
      <c r="R27" s="200"/>
    </row>
    <row r="28" spans="1:24" ht="16.8">
      <c r="A28" s="209" t="s">
        <v>216</v>
      </c>
      <c r="B28" s="209"/>
      <c r="C28" s="203"/>
      <c r="D28" s="203"/>
      <c r="E28" s="194">
        <v>9.3000000000000007</v>
      </c>
      <c r="F28" s="250">
        <f>1/E28</f>
        <v>0.1075268817204301</v>
      </c>
      <c r="G28" s="206"/>
      <c r="H28" s="196"/>
      <c r="I28" s="210"/>
      <c r="P28" s="200"/>
      <c r="Q28" s="200"/>
      <c r="R28" s="200"/>
    </row>
    <row r="29" spans="1:24">
      <c r="A29" s="206" t="s">
        <v>254</v>
      </c>
      <c r="B29" s="206"/>
      <c r="C29" s="278">
        <v>0.2</v>
      </c>
      <c r="D29" s="203">
        <v>3</v>
      </c>
      <c r="E29" s="251">
        <f>C29/(D29/1000)</f>
        <v>66.666666666666671</v>
      </c>
      <c r="F29" s="250">
        <f>1/E29</f>
        <v>1.4999999999999999E-2</v>
      </c>
      <c r="G29" s="206"/>
      <c r="H29" s="196"/>
      <c r="I29" s="210">
        <v>20</v>
      </c>
      <c r="P29" s="200"/>
      <c r="Q29" s="200"/>
      <c r="R29" s="200"/>
    </row>
    <row r="30" spans="1:24">
      <c r="A30" s="206" t="s">
        <v>219</v>
      </c>
      <c r="B30" s="206"/>
      <c r="C30" s="278">
        <v>0.85</v>
      </c>
      <c r="D30" s="203">
        <v>400</v>
      </c>
      <c r="E30" s="251">
        <f>C30/(D30/1000)</f>
        <v>2.125</v>
      </c>
      <c r="F30" s="250">
        <f>1/E30</f>
        <v>0.47058823529411764</v>
      </c>
      <c r="G30" s="206"/>
      <c r="H30" s="210">
        <v>2400</v>
      </c>
      <c r="I30" s="239">
        <f>H30*D30/1000</f>
        <v>960</v>
      </c>
      <c r="P30" s="200"/>
      <c r="Q30" s="200"/>
      <c r="R30" s="200"/>
    </row>
    <row r="31" spans="1:24">
      <c r="A31" s="206" t="s">
        <v>325</v>
      </c>
      <c r="B31" s="206"/>
      <c r="C31" s="278">
        <v>2.5999999999999999E-2</v>
      </c>
      <c r="D31" s="203">
        <v>100</v>
      </c>
      <c r="E31" s="251">
        <f>C31/(D31/1000)</f>
        <v>0.25999999999999995</v>
      </c>
      <c r="F31" s="250">
        <f>1/E31</f>
        <v>3.8461538461538467</v>
      </c>
      <c r="G31" s="206"/>
      <c r="H31" s="210"/>
      <c r="I31" s="239"/>
      <c r="P31" s="200"/>
      <c r="Q31" s="200"/>
      <c r="R31" s="200"/>
    </row>
    <row r="32" spans="1:24">
      <c r="C32" s="279"/>
      <c r="D32" s="200"/>
      <c r="E32" s="200"/>
      <c r="F32" s="200"/>
      <c r="G32" s="206"/>
      <c r="H32" s="210"/>
      <c r="I32" s="210"/>
      <c r="P32" s="200"/>
      <c r="Q32" s="200"/>
      <c r="R32" s="200"/>
    </row>
    <row r="33" spans="1:18">
      <c r="A33" s="207" t="s">
        <v>218</v>
      </c>
      <c r="B33" s="207"/>
      <c r="C33" s="278"/>
      <c r="D33" s="203"/>
      <c r="E33" s="203"/>
      <c r="F33" s="208"/>
      <c r="G33" s="206"/>
      <c r="H33" s="210"/>
      <c r="I33" s="210"/>
      <c r="P33" s="200"/>
      <c r="Q33" s="200"/>
      <c r="R33" s="200"/>
    </row>
    <row r="34" spans="1:18" ht="16.8">
      <c r="A34" s="209" t="s">
        <v>217</v>
      </c>
      <c r="B34" s="209"/>
      <c r="C34" s="278"/>
      <c r="D34" s="203"/>
      <c r="E34" s="194">
        <v>23.2</v>
      </c>
      <c r="F34" s="250">
        <f>1/E34</f>
        <v>4.3103448275862072E-2</v>
      </c>
      <c r="G34" s="206"/>
      <c r="H34" s="196"/>
      <c r="I34" s="210"/>
      <c r="P34" s="200"/>
      <c r="Q34" s="200"/>
      <c r="R34" s="200"/>
    </row>
    <row r="35" spans="1:18" ht="16.2">
      <c r="A35" s="206" t="s">
        <v>321</v>
      </c>
      <c r="B35" s="209"/>
      <c r="C35" s="333">
        <v>1.1000000000000001</v>
      </c>
      <c r="D35" s="203">
        <v>200</v>
      </c>
      <c r="E35" s="251">
        <f>C35/(D35/1000)</f>
        <v>5.5</v>
      </c>
      <c r="F35" s="250">
        <f t="shared" ref="F35:F36" si="5">1/E35</f>
        <v>0.18181818181818182</v>
      </c>
      <c r="G35" s="206"/>
      <c r="H35" s="210">
        <v>2400</v>
      </c>
      <c r="I35" s="239">
        <f>H35*D35/1000</f>
        <v>480</v>
      </c>
      <c r="P35" s="200"/>
      <c r="Q35" s="200"/>
      <c r="R35" s="200"/>
    </row>
    <row r="36" spans="1:18">
      <c r="A36" s="206" t="s">
        <v>345</v>
      </c>
      <c r="B36" s="206"/>
      <c r="C36" s="278">
        <v>3.7999999999999999E-2</v>
      </c>
      <c r="D36" s="203">
        <v>100</v>
      </c>
      <c r="E36" s="251">
        <f>C36/(D36/1000)</f>
        <v>0.37999999999999995</v>
      </c>
      <c r="F36" s="250">
        <f t="shared" si="5"/>
        <v>2.6315789473684212</v>
      </c>
      <c r="G36" s="206"/>
      <c r="H36" s="210">
        <v>150</v>
      </c>
      <c r="I36" s="239">
        <f>H36*D36/1000</f>
        <v>15</v>
      </c>
      <c r="P36" s="200"/>
      <c r="Q36" s="200"/>
      <c r="R36" s="200"/>
    </row>
    <row r="37" spans="1:18" ht="16.8">
      <c r="A37" s="209" t="s">
        <v>216</v>
      </c>
      <c r="B37" s="209"/>
      <c r="C37" s="203"/>
      <c r="D37" s="203"/>
      <c r="E37" s="194">
        <v>9.3000000000000007</v>
      </c>
      <c r="F37" s="250">
        <f>1/E37</f>
        <v>0.1075268817204301</v>
      </c>
      <c r="G37" s="206"/>
      <c r="H37" s="196"/>
      <c r="I37" s="210"/>
      <c r="P37" s="200"/>
      <c r="Q37" s="200"/>
      <c r="R37" s="200"/>
    </row>
    <row r="38" spans="1:18">
      <c r="F38" s="200"/>
      <c r="G38" s="206"/>
      <c r="H38" s="210"/>
      <c r="I38" s="239">
        <f>SUM(I34:I37)</f>
        <v>495</v>
      </c>
      <c r="P38" s="201"/>
      <c r="Q38" s="201"/>
      <c r="R38" s="201"/>
    </row>
    <row r="39" spans="1:18">
      <c r="A39" s="207" t="s">
        <v>255</v>
      </c>
      <c r="B39" s="207"/>
      <c r="C39" s="203"/>
      <c r="D39" s="203"/>
      <c r="E39" s="196"/>
      <c r="F39" s="208"/>
      <c r="G39" s="206"/>
      <c r="H39" s="210"/>
      <c r="I39" s="210"/>
      <c r="P39" s="200"/>
      <c r="Q39" s="200"/>
      <c r="R39" s="200"/>
    </row>
    <row r="40" spans="1:18" ht="16.8">
      <c r="A40" s="209" t="s">
        <v>216</v>
      </c>
      <c r="B40" s="209"/>
      <c r="C40" s="203"/>
      <c r="D40" s="203"/>
      <c r="E40" s="203">
        <v>9.3000000000000007</v>
      </c>
      <c r="F40" s="250">
        <f>1/E40</f>
        <v>0.1075268817204301</v>
      </c>
      <c r="G40" s="206"/>
      <c r="H40" s="196"/>
      <c r="I40" s="210"/>
      <c r="P40" s="200"/>
      <c r="Q40" s="200"/>
      <c r="R40" s="200"/>
    </row>
    <row r="41" spans="1:18">
      <c r="A41" s="206" t="s">
        <v>222</v>
      </c>
      <c r="B41" s="206"/>
      <c r="C41" s="203">
        <v>4.4999999999999998E-2</v>
      </c>
      <c r="D41" s="203">
        <v>150</v>
      </c>
      <c r="E41" s="251">
        <f>C41/(D41/1000)</f>
        <v>0.3</v>
      </c>
      <c r="F41" s="250">
        <f>1/E41</f>
        <v>3.3333333333333335</v>
      </c>
      <c r="G41" s="206"/>
      <c r="H41" s="210">
        <v>135</v>
      </c>
      <c r="I41" s="239">
        <f>H41*D41/1000</f>
        <v>20.25</v>
      </c>
      <c r="P41" s="200"/>
      <c r="Q41" s="200"/>
      <c r="R41" s="200"/>
    </row>
    <row r="42" spans="1:18" ht="16.8">
      <c r="A42" s="209" t="s">
        <v>216</v>
      </c>
      <c r="B42" s="209"/>
      <c r="C42" s="203"/>
      <c r="D42" s="203"/>
      <c r="E42" s="203">
        <v>9.3000000000000007</v>
      </c>
      <c r="F42" s="250">
        <f>1/E42</f>
        <v>0.1075268817204301</v>
      </c>
      <c r="G42" s="206"/>
      <c r="H42" s="196"/>
      <c r="I42" s="210"/>
      <c r="P42" s="200"/>
      <c r="Q42" s="200"/>
      <c r="R42" s="200"/>
    </row>
    <row r="43" spans="1:18">
      <c r="G43" s="206"/>
      <c r="H43" s="210"/>
      <c r="I43" s="239">
        <f>SUM(I40:I42)</f>
        <v>20.25</v>
      </c>
      <c r="P43" s="201"/>
      <c r="Q43" s="201"/>
      <c r="R43" s="201"/>
    </row>
    <row r="44" spans="1:18">
      <c r="A44" s="207" t="s">
        <v>379</v>
      </c>
      <c r="B44" s="207"/>
      <c r="C44" s="203"/>
      <c r="D44" s="203"/>
      <c r="E44" s="196"/>
      <c r="F44" s="208"/>
      <c r="G44" s="206"/>
      <c r="H44" s="210"/>
      <c r="I44" s="210"/>
      <c r="P44" s="200"/>
      <c r="Q44" s="200"/>
      <c r="R44" s="200"/>
    </row>
    <row r="45" spans="1:18" ht="16.8">
      <c r="A45" s="209" t="s">
        <v>217</v>
      </c>
      <c r="B45" s="209"/>
      <c r="C45" s="203"/>
      <c r="D45" s="203"/>
      <c r="E45" s="333">
        <v>23.2</v>
      </c>
      <c r="F45" s="250">
        <f>1/E45</f>
        <v>4.3103448275862072E-2</v>
      </c>
      <c r="G45" s="206"/>
      <c r="H45" s="196"/>
      <c r="I45" s="210"/>
      <c r="P45" s="200"/>
      <c r="Q45" s="200"/>
      <c r="R45" s="200"/>
    </row>
    <row r="46" spans="1:18">
      <c r="A46" s="206" t="s">
        <v>343</v>
      </c>
      <c r="B46" s="206"/>
      <c r="C46" s="278">
        <v>0.06</v>
      </c>
      <c r="D46" s="203">
        <v>200</v>
      </c>
      <c r="E46" s="240">
        <f>C46/(D46/1000)</f>
        <v>0.3</v>
      </c>
      <c r="F46" s="250">
        <f>1/E46</f>
        <v>3.3333333333333335</v>
      </c>
      <c r="G46" s="206"/>
      <c r="H46" s="210">
        <v>1000</v>
      </c>
      <c r="I46" s="239">
        <f>H46*D46/1000</f>
        <v>200</v>
      </c>
      <c r="P46" s="200"/>
      <c r="Q46" s="200"/>
      <c r="R46" s="200"/>
    </row>
    <row r="47" spans="1:18" ht="16.8">
      <c r="A47" s="209" t="s">
        <v>216</v>
      </c>
      <c r="B47" s="209"/>
      <c r="C47" s="203"/>
      <c r="D47" s="203"/>
      <c r="E47" s="333">
        <v>9.3000000000000007</v>
      </c>
      <c r="F47" s="250">
        <f>1/E47</f>
        <v>0.1075268817204301</v>
      </c>
      <c r="G47" s="206"/>
      <c r="H47" s="196"/>
      <c r="I47" s="210"/>
      <c r="P47" s="200"/>
      <c r="Q47" s="200"/>
      <c r="R47" s="200"/>
    </row>
    <row r="48" spans="1:18">
      <c r="G48" s="206"/>
      <c r="H48" s="210"/>
      <c r="I48" s="239">
        <f>SUM(I45:I47)</f>
        <v>200</v>
      </c>
      <c r="P48" s="201"/>
      <c r="Q48" s="201"/>
      <c r="R48" s="201"/>
    </row>
    <row r="49" spans="1:18">
      <c r="A49" s="207" t="s">
        <v>380</v>
      </c>
      <c r="B49" s="207"/>
      <c r="C49" s="203"/>
      <c r="D49" s="203"/>
      <c r="E49" s="196"/>
      <c r="F49" s="208"/>
      <c r="G49" s="206"/>
      <c r="H49" s="210"/>
      <c r="I49" s="210"/>
      <c r="P49" s="200"/>
      <c r="Q49" s="200"/>
      <c r="R49" s="200"/>
    </row>
    <row r="50" spans="1:18" ht="16.8">
      <c r="A50" s="209" t="s">
        <v>217</v>
      </c>
      <c r="B50" s="209"/>
      <c r="C50" s="203"/>
      <c r="D50" s="203"/>
      <c r="E50" s="333">
        <v>23.2</v>
      </c>
      <c r="F50" s="250">
        <f>1/E50</f>
        <v>4.3103448275862072E-2</v>
      </c>
      <c r="G50" s="206"/>
      <c r="H50" s="196"/>
      <c r="I50" s="210"/>
      <c r="P50" s="200"/>
      <c r="Q50" s="200"/>
      <c r="R50" s="200"/>
    </row>
    <row r="51" spans="1:18">
      <c r="A51" s="206" t="s">
        <v>343</v>
      </c>
      <c r="B51" s="206"/>
      <c r="C51" s="278">
        <v>0.06</v>
      </c>
      <c r="D51" s="203">
        <v>300</v>
      </c>
      <c r="E51" s="240">
        <f>C51/(D51/1000)</f>
        <v>0.2</v>
      </c>
      <c r="F51" s="250">
        <f>1/E51</f>
        <v>5</v>
      </c>
      <c r="G51" s="206"/>
      <c r="H51" s="210">
        <v>1000</v>
      </c>
      <c r="I51" s="239">
        <f>H51*D51/1000</f>
        <v>300</v>
      </c>
      <c r="P51" s="200"/>
      <c r="Q51" s="200"/>
      <c r="R51" s="200"/>
    </row>
    <row r="52" spans="1:18" ht="16.8">
      <c r="A52" s="209" t="s">
        <v>216</v>
      </c>
      <c r="B52" s="209"/>
      <c r="C52" s="203"/>
      <c r="D52" s="203"/>
      <c r="E52" s="333">
        <v>9.3000000000000007</v>
      </c>
      <c r="F52" s="250">
        <f>1/E52</f>
        <v>0.1075268817204301</v>
      </c>
      <c r="G52" s="206"/>
      <c r="H52" s="196"/>
      <c r="I52" s="210"/>
      <c r="P52" s="200"/>
      <c r="Q52" s="200"/>
      <c r="R52" s="200"/>
    </row>
    <row r="53" spans="1:18">
      <c r="G53" s="206"/>
      <c r="H53" s="210"/>
      <c r="I53" s="239">
        <f>SUM(I50:I52)</f>
        <v>300</v>
      </c>
      <c r="P53" s="201"/>
      <c r="Q53" s="201"/>
      <c r="R53" s="201"/>
    </row>
    <row r="54" spans="1:18">
      <c r="A54" s="207" t="s">
        <v>223</v>
      </c>
      <c r="B54" s="207"/>
      <c r="C54" s="203"/>
      <c r="D54" s="203"/>
      <c r="E54" s="196"/>
      <c r="F54" s="208"/>
      <c r="G54" s="206"/>
      <c r="H54" s="210"/>
      <c r="I54" s="210"/>
      <c r="P54" s="200"/>
      <c r="Q54" s="200"/>
      <c r="R54" s="200"/>
    </row>
    <row r="55" spans="1:18" ht="16.8">
      <c r="A55" s="209" t="s">
        <v>216</v>
      </c>
      <c r="B55" s="209"/>
      <c r="C55" s="203"/>
      <c r="D55" s="203"/>
      <c r="E55" s="333">
        <v>9.3000000000000007</v>
      </c>
      <c r="F55" s="250">
        <f>1/E55</f>
        <v>0.1075268817204301</v>
      </c>
      <c r="G55" s="206"/>
      <c r="H55" s="210"/>
      <c r="I55" s="210"/>
      <c r="P55" s="200"/>
      <c r="Q55" s="200"/>
      <c r="R55" s="200"/>
    </row>
    <row r="56" spans="1:18" ht="16.2">
      <c r="A56" s="206" t="s">
        <v>321</v>
      </c>
      <c r="B56" s="209"/>
      <c r="C56" s="333">
        <v>1.1000000000000001</v>
      </c>
      <c r="D56" s="203">
        <v>100</v>
      </c>
      <c r="E56" s="240">
        <f>C56/(D56/1000)</f>
        <v>11</v>
      </c>
      <c r="F56" s="250">
        <f t="shared" ref="F56:F57" si="6">1/E56</f>
        <v>9.0909090909090912E-2</v>
      </c>
      <c r="G56" s="206"/>
      <c r="H56" s="210">
        <v>2400</v>
      </c>
      <c r="I56" s="239">
        <f>H56*D56/1000</f>
        <v>240</v>
      </c>
      <c r="P56" s="200"/>
      <c r="Q56" s="200"/>
      <c r="R56" s="200"/>
    </row>
    <row r="57" spans="1:18">
      <c r="A57" s="206" t="s">
        <v>345</v>
      </c>
      <c r="B57" s="206"/>
      <c r="C57" s="278">
        <v>3.7999999999999999E-2</v>
      </c>
      <c r="D57" s="203">
        <v>50</v>
      </c>
      <c r="E57" s="251">
        <f>C57/(D57/1000)</f>
        <v>0.7599999999999999</v>
      </c>
      <c r="F57" s="250">
        <f t="shared" si="6"/>
        <v>1.3157894736842106</v>
      </c>
      <c r="G57" s="206"/>
      <c r="H57" s="210">
        <v>150</v>
      </c>
      <c r="I57" s="239">
        <f>H57*D57/1000</f>
        <v>7.5</v>
      </c>
      <c r="P57" s="200"/>
      <c r="Q57" s="200"/>
      <c r="R57" s="200"/>
    </row>
    <row r="58" spans="1:18" ht="16.8">
      <c r="A58" s="209" t="s">
        <v>216</v>
      </c>
      <c r="B58" s="209"/>
      <c r="C58" s="203"/>
      <c r="D58" s="203"/>
      <c r="E58" s="333">
        <v>9.3000000000000007</v>
      </c>
      <c r="F58" s="250">
        <f>1/E58</f>
        <v>0.1075268817204301</v>
      </c>
      <c r="G58" s="206"/>
      <c r="H58" s="210"/>
      <c r="I58" s="210"/>
      <c r="P58" s="200"/>
      <c r="Q58" s="200"/>
      <c r="R58" s="200"/>
    </row>
    <row r="59" spans="1:18">
      <c r="G59" s="206"/>
      <c r="H59" s="210"/>
      <c r="I59" s="239">
        <f>SUM(I56:I58)</f>
        <v>247.5</v>
      </c>
      <c r="P59" s="201"/>
      <c r="Q59" s="201"/>
      <c r="R59" s="201"/>
    </row>
    <row r="60" spans="1:18">
      <c r="A60" s="207" t="s">
        <v>352</v>
      </c>
      <c r="B60" s="207"/>
      <c r="C60" s="203"/>
      <c r="D60" s="203"/>
      <c r="E60" s="196"/>
      <c r="F60" s="208"/>
      <c r="G60" s="206"/>
      <c r="H60" s="210"/>
      <c r="I60" s="210"/>
      <c r="P60" s="200"/>
      <c r="Q60" s="200"/>
      <c r="R60" s="200"/>
    </row>
    <row r="61" spans="1:18" ht="16.8">
      <c r="A61" s="209" t="s">
        <v>216</v>
      </c>
      <c r="B61" s="209"/>
      <c r="C61" s="203"/>
      <c r="D61" s="203"/>
      <c r="E61" s="333">
        <v>9.3000000000000007</v>
      </c>
      <c r="F61" s="250">
        <f>1/E61</f>
        <v>0.1075268817204301</v>
      </c>
      <c r="G61" s="206"/>
      <c r="H61" s="210"/>
      <c r="I61" s="210"/>
      <c r="P61" s="200"/>
      <c r="Q61" s="200"/>
      <c r="R61" s="200"/>
    </row>
    <row r="62" spans="1:18">
      <c r="A62" s="206" t="s">
        <v>353</v>
      </c>
      <c r="B62" s="206"/>
      <c r="C62" s="278">
        <v>5.7000000000000002E-2</v>
      </c>
      <c r="D62" s="203">
        <v>15</v>
      </c>
      <c r="E62" s="251">
        <f>C62/(D62/1000)</f>
        <v>3.8000000000000003</v>
      </c>
      <c r="F62" s="250">
        <f t="shared" ref="F62" si="7">1/E62</f>
        <v>0.26315789473684209</v>
      </c>
      <c r="G62" s="206"/>
      <c r="H62" s="210">
        <v>250</v>
      </c>
      <c r="I62" s="281">
        <f>H62*D62/1000</f>
        <v>3.75</v>
      </c>
      <c r="P62" s="200"/>
      <c r="Q62" s="200"/>
      <c r="R62" s="200"/>
    </row>
    <row r="63" spans="1:18" ht="16.8">
      <c r="A63" s="209" t="s">
        <v>216</v>
      </c>
      <c r="B63" s="209"/>
      <c r="C63" s="203"/>
      <c r="D63" s="203"/>
      <c r="E63" s="333">
        <v>9.3000000000000007</v>
      </c>
      <c r="F63" s="250">
        <f>1/E63</f>
        <v>0.1075268817204301</v>
      </c>
      <c r="G63" s="206"/>
      <c r="H63" s="210"/>
      <c r="I63" s="210"/>
      <c r="P63" s="200"/>
      <c r="Q63" s="200"/>
      <c r="R63" s="200"/>
    </row>
    <row r="65" spans="1:16">
      <c r="A65" s="212" t="s">
        <v>382</v>
      </c>
      <c r="B65" s="212"/>
      <c r="C65" s="252" t="s">
        <v>225</v>
      </c>
      <c r="D65" s="252" t="s">
        <v>226</v>
      </c>
      <c r="E65" s="252" t="s">
        <v>227</v>
      </c>
      <c r="F65" s="252" t="s">
        <v>256</v>
      </c>
      <c r="G65" s="252"/>
      <c r="H65" s="252" t="s">
        <v>257</v>
      </c>
      <c r="I65" s="252" t="s">
        <v>258</v>
      </c>
      <c r="J65" s="252"/>
      <c r="K65" s="252" t="s">
        <v>259</v>
      </c>
      <c r="L65" s="252" t="s">
        <v>260</v>
      </c>
      <c r="M65" s="252" t="s">
        <v>37</v>
      </c>
      <c r="N65" s="253" t="s">
        <v>30</v>
      </c>
      <c r="O65" s="253" t="s">
        <v>261</v>
      </c>
    </row>
    <row r="66" spans="1:16" ht="13.2" customHeight="1">
      <c r="A66" s="340" t="str">
        <f>A4</f>
        <v>PREDISPOSITION TO DS</v>
      </c>
      <c r="B66" s="206" t="s">
        <v>220</v>
      </c>
      <c r="C66" s="254"/>
      <c r="D66" s="254"/>
      <c r="E66" s="262">
        <f>(3.5)*1</f>
        <v>3.5</v>
      </c>
      <c r="F66" s="256">
        <f t="shared" ref="F66:F67" si="8">360/860*1000</f>
        <v>418.60465116279073</v>
      </c>
      <c r="G66" s="254"/>
      <c r="H66" s="257">
        <f>1+17%-5%</f>
        <v>1.1199999999999999</v>
      </c>
      <c r="I66" s="258">
        <v>0.54</v>
      </c>
      <c r="J66" s="254"/>
      <c r="K66" s="258">
        <v>0.33</v>
      </c>
      <c r="L66" s="256">
        <f>F66*H66*I66*K66</f>
        <v>83.546790697674425</v>
      </c>
      <c r="M66" s="266">
        <f>L66*E66</f>
        <v>292.4137674418605</v>
      </c>
      <c r="N66" s="705" t="s">
        <v>300</v>
      </c>
      <c r="O66" s="706"/>
    </row>
    <row r="67" spans="1:16" ht="13.2" customHeight="1">
      <c r="A67" s="340"/>
      <c r="B67" s="206" t="s">
        <v>295</v>
      </c>
      <c r="C67" s="254"/>
      <c r="D67" s="254"/>
      <c r="E67" s="262">
        <f>(12.5)*1</f>
        <v>12.5</v>
      </c>
      <c r="F67" s="256">
        <f t="shared" si="8"/>
        <v>418.60465116279073</v>
      </c>
      <c r="G67" s="254"/>
      <c r="H67" s="257">
        <f>1+17%-5%</f>
        <v>1.1199999999999999</v>
      </c>
      <c r="I67" s="258">
        <v>0.54</v>
      </c>
      <c r="J67" s="254"/>
      <c r="K67" s="258">
        <v>0.8</v>
      </c>
      <c r="L67" s="256">
        <f>F67*H67*I67*K67</f>
        <v>202.53767441860467</v>
      </c>
      <c r="M67" s="266">
        <f>L67*E67</f>
        <v>2531.7209302325582</v>
      </c>
      <c r="N67" s="705"/>
      <c r="O67" s="706"/>
    </row>
    <row r="68" spans="1:16">
      <c r="A68" s="206"/>
      <c r="B68" s="206"/>
      <c r="C68" s="254"/>
      <c r="D68" s="254"/>
      <c r="E68" s="255"/>
      <c r="F68" s="256"/>
      <c r="G68" s="254"/>
      <c r="H68" s="257"/>
      <c r="I68" s="258"/>
      <c r="J68" s="254"/>
      <c r="K68" s="258"/>
      <c r="L68" s="256"/>
      <c r="M68" s="254"/>
      <c r="N68" s="705"/>
      <c r="O68" s="706"/>
    </row>
    <row r="69" spans="1:16">
      <c r="I69" s="213"/>
      <c r="K69" s="213"/>
      <c r="L69" s="213"/>
      <c r="N69" s="213"/>
    </row>
    <row r="70" spans="1:16">
      <c r="A70" s="212" t="s">
        <v>382</v>
      </c>
      <c r="B70" s="212"/>
      <c r="C70" s="252" t="s">
        <v>225</v>
      </c>
      <c r="D70" s="252" t="s">
        <v>226</v>
      </c>
      <c r="E70" s="252" t="s">
        <v>227</v>
      </c>
      <c r="F70" s="252" t="s">
        <v>256</v>
      </c>
      <c r="G70" s="252"/>
      <c r="H70" s="252" t="s">
        <v>257</v>
      </c>
      <c r="I70" s="252" t="s">
        <v>258</v>
      </c>
      <c r="J70" s="252"/>
      <c r="K70" s="252" t="s">
        <v>259</v>
      </c>
      <c r="L70" s="252" t="s">
        <v>260</v>
      </c>
      <c r="M70" s="252" t="s">
        <v>37</v>
      </c>
      <c r="N70" s="253" t="s">
        <v>30</v>
      </c>
      <c r="O70" s="253" t="s">
        <v>261</v>
      </c>
    </row>
    <row r="71" spans="1:16" ht="13.2" customHeight="1">
      <c r="A71" s="340" t="str">
        <f>A6</f>
        <v>NO BETA AREA CORRIDOR</v>
      </c>
      <c r="B71" s="206" t="s">
        <v>295</v>
      </c>
      <c r="C71" s="254"/>
      <c r="D71" s="254"/>
      <c r="E71" s="262">
        <f>Q6</f>
        <v>20</v>
      </c>
      <c r="F71" s="256">
        <f t="shared" ref="F71" si="9">360/860*1000</f>
        <v>418.60465116279073</v>
      </c>
      <c r="G71" s="254"/>
      <c r="H71" s="257">
        <f>1+17%-5%</f>
        <v>1.1199999999999999</v>
      </c>
      <c r="I71" s="258">
        <v>0.54</v>
      </c>
      <c r="J71" s="254"/>
      <c r="K71" s="258">
        <v>0.8</v>
      </c>
      <c r="L71" s="256">
        <f>F71*H71*I71*K71</f>
        <v>202.53767441860467</v>
      </c>
      <c r="M71" s="266">
        <f>L71*E71</f>
        <v>4050.7534883720932</v>
      </c>
      <c r="N71" s="705" t="s">
        <v>383</v>
      </c>
      <c r="O71" s="706"/>
    </row>
    <row r="72" spans="1:16" ht="13.2" customHeight="1">
      <c r="A72" s="340"/>
      <c r="B72" s="206"/>
      <c r="C72" s="254"/>
      <c r="D72" s="254"/>
      <c r="E72" s="262"/>
      <c r="F72" s="256"/>
      <c r="G72" s="254"/>
      <c r="H72" s="257"/>
      <c r="I72" s="258"/>
      <c r="J72" s="254"/>
      <c r="K72" s="258"/>
      <c r="L72" s="256"/>
      <c r="M72" s="266"/>
      <c r="N72" s="705"/>
      <c r="O72" s="706"/>
    </row>
    <row r="73" spans="1:16" ht="13.2" customHeight="1">
      <c r="A73" s="340"/>
      <c r="B73" s="206"/>
      <c r="C73" s="254"/>
      <c r="D73" s="254"/>
      <c r="E73" s="262"/>
      <c r="F73" s="256"/>
      <c r="G73" s="254"/>
      <c r="H73" s="257"/>
      <c r="I73" s="258"/>
      <c r="J73" s="254"/>
      <c r="K73" s="258"/>
      <c r="L73" s="256"/>
      <c r="M73" s="266"/>
      <c r="N73" s="705"/>
      <c r="O73" s="706"/>
    </row>
    <row r="74" spans="1:16">
      <c r="A74" s="340"/>
      <c r="B74" s="206"/>
      <c r="C74" s="254"/>
      <c r="D74" s="254"/>
      <c r="E74" s="262"/>
      <c r="F74" s="256"/>
      <c r="G74" s="254"/>
      <c r="H74" s="257"/>
      <c r="I74" s="258"/>
      <c r="J74" s="254"/>
      <c r="K74" s="258"/>
      <c r="L74" s="256"/>
      <c r="M74" s="266"/>
      <c r="N74" s="705"/>
      <c r="O74" s="706"/>
    </row>
    <row r="75" spans="1:16">
      <c r="A75" s="340"/>
      <c r="B75" s="206"/>
      <c r="C75" s="254"/>
      <c r="D75" s="254"/>
      <c r="E75" s="262"/>
      <c r="F75" s="256"/>
      <c r="G75" s="254"/>
      <c r="H75" s="257"/>
      <c r="I75" s="258"/>
      <c r="J75" s="254"/>
      <c r="K75" s="258"/>
      <c r="L75" s="256"/>
      <c r="M75" s="266"/>
      <c r="N75" s="705"/>
      <c r="O75" s="706"/>
    </row>
    <row r="76" spans="1:16">
      <c r="A76" s="206"/>
      <c r="B76" s="206"/>
      <c r="C76" s="254"/>
      <c r="D76" s="254"/>
      <c r="E76" s="262"/>
      <c r="F76" s="256"/>
      <c r="G76" s="254"/>
      <c r="H76" s="257"/>
      <c r="I76" s="258"/>
      <c r="J76" s="254"/>
      <c r="K76" s="258"/>
      <c r="L76" s="256"/>
      <c r="M76" s="266"/>
      <c r="N76" s="705"/>
      <c r="O76" s="706"/>
    </row>
    <row r="77" spans="1:16">
      <c r="A77" s="206"/>
      <c r="B77" s="206"/>
      <c r="C77" s="254"/>
      <c r="D77" s="254"/>
      <c r="E77" s="255"/>
      <c r="F77" s="256"/>
      <c r="G77" s="254"/>
      <c r="H77" s="257"/>
      <c r="I77" s="258"/>
      <c r="J77" s="254"/>
      <c r="K77" s="258"/>
      <c r="L77" s="256"/>
      <c r="M77" s="254"/>
      <c r="N77" s="705"/>
      <c r="O77" s="706"/>
    </row>
    <row r="78" spans="1:16">
      <c r="I78" s="213"/>
      <c r="K78" s="213"/>
      <c r="L78" s="213"/>
      <c r="N78" s="213"/>
    </row>
    <row r="79" spans="1:16" ht="40.200000000000003">
      <c r="A79" s="259" t="s">
        <v>228</v>
      </c>
      <c r="B79" s="259"/>
      <c r="C79" s="206"/>
      <c r="D79" s="206"/>
      <c r="E79" s="260" t="s">
        <v>227</v>
      </c>
      <c r="F79" s="260" t="s">
        <v>229</v>
      </c>
      <c r="G79" s="261" t="s">
        <v>230</v>
      </c>
      <c r="H79" s="261" t="s">
        <v>231</v>
      </c>
      <c r="I79" s="261" t="s">
        <v>232</v>
      </c>
      <c r="J79" s="260"/>
      <c r="K79" s="261" t="s">
        <v>233</v>
      </c>
      <c r="L79" s="261" t="s">
        <v>234</v>
      </c>
      <c r="M79" s="261" t="s">
        <v>262</v>
      </c>
      <c r="N79" s="261" t="s">
        <v>235</v>
      </c>
      <c r="O79" s="261" t="s">
        <v>236</v>
      </c>
      <c r="P79" s="261" t="s">
        <v>37</v>
      </c>
    </row>
    <row r="80" spans="1:16">
      <c r="A80" s="280" t="str">
        <f>A4</f>
        <v>PREDISPOSITION TO DS</v>
      </c>
      <c r="B80" s="259"/>
      <c r="C80" s="206"/>
      <c r="D80" s="206"/>
      <c r="E80" s="260"/>
      <c r="F80" s="260"/>
      <c r="G80" s="261"/>
      <c r="H80" s="261"/>
      <c r="I80" s="261"/>
      <c r="J80" s="260"/>
      <c r="K80" s="261"/>
      <c r="L80" s="261"/>
      <c r="M80" s="261"/>
      <c r="N80" s="261"/>
      <c r="O80" s="261"/>
      <c r="P80" s="261"/>
    </row>
    <row r="81" spans="1:16">
      <c r="A81" s="206" t="s">
        <v>264</v>
      </c>
      <c r="B81" s="206"/>
      <c r="C81" s="206"/>
      <c r="D81" s="206"/>
      <c r="E81" s="255">
        <f>K4</f>
        <v>0</v>
      </c>
      <c r="F81" s="254">
        <v>0.8</v>
      </c>
      <c r="G81" s="254">
        <v>12.5</v>
      </c>
      <c r="H81" s="254">
        <v>23.6</v>
      </c>
      <c r="I81" s="254">
        <f>H81</f>
        <v>23.6</v>
      </c>
      <c r="J81" s="254"/>
      <c r="K81" s="263">
        <f>$E$19*E81*I81</f>
        <v>0</v>
      </c>
      <c r="L81" s="264">
        <f>I81+($M$4-$C$4)-(34-26)</f>
        <v>29.6</v>
      </c>
      <c r="M81" s="265">
        <v>10</v>
      </c>
      <c r="N81" s="264">
        <f>(11-M81)*0.5+L81</f>
        <v>30.1</v>
      </c>
      <c r="O81" s="264">
        <f>N81</f>
        <v>30.1</v>
      </c>
      <c r="P81" s="263">
        <f>$E$19*E81*O81</f>
        <v>0</v>
      </c>
    </row>
    <row r="82" spans="1:16">
      <c r="A82" s="206" t="s">
        <v>265</v>
      </c>
      <c r="B82" s="206"/>
      <c r="C82" s="206"/>
      <c r="D82" s="206"/>
      <c r="E82" s="255">
        <f>(5)*3</f>
        <v>15</v>
      </c>
      <c r="F82" s="254">
        <v>-1.4</v>
      </c>
      <c r="G82" s="265">
        <v>3</v>
      </c>
      <c r="H82" s="254">
        <v>16.399999999999999</v>
      </c>
      <c r="I82" s="254">
        <f t="shared" ref="I82:I85" si="10">H82</f>
        <v>16.399999999999999</v>
      </c>
      <c r="J82" s="254"/>
      <c r="K82" s="263">
        <f>$E$21*E82*I82</f>
        <v>88.261540508181454</v>
      </c>
      <c r="L82" s="264">
        <f t="shared" ref="L82:L85" si="11">I82+($M$4-$C$4)-(34-26)</f>
        <v>22.4</v>
      </c>
      <c r="M82" s="265">
        <v>10</v>
      </c>
      <c r="N82" s="264">
        <f t="shared" ref="N82:N85" si="12">(11-M82)*0.5+L82</f>
        <v>22.9</v>
      </c>
      <c r="O82" s="264">
        <f t="shared" ref="O82:O85" si="13">N82</f>
        <v>22.9</v>
      </c>
      <c r="P82" s="263">
        <f>$E$21*E82*O82</f>
        <v>123.24324863642411</v>
      </c>
    </row>
    <row r="83" spans="1:16">
      <c r="A83" s="206" t="s">
        <v>277</v>
      </c>
      <c r="B83" s="206"/>
      <c r="C83" s="206"/>
      <c r="D83" s="206"/>
      <c r="E83" s="255">
        <f>(14)*3</f>
        <v>42</v>
      </c>
      <c r="F83" s="254">
        <v>13.1</v>
      </c>
      <c r="G83" s="254">
        <v>8.1</v>
      </c>
      <c r="H83" s="254">
        <v>7.4</v>
      </c>
      <c r="I83" s="254">
        <f t="shared" si="10"/>
        <v>7.4</v>
      </c>
      <c r="J83" s="254"/>
      <c r="K83" s="263">
        <f t="shared" ref="K83:K85" si="14">$E$21*E83*I83</f>
        <v>111.51092191033659</v>
      </c>
      <c r="L83" s="264">
        <f t="shared" si="11"/>
        <v>13.399999999999999</v>
      </c>
      <c r="M83" s="265">
        <v>10</v>
      </c>
      <c r="N83" s="264">
        <f t="shared" si="12"/>
        <v>13.899999999999999</v>
      </c>
      <c r="O83" s="264">
        <f t="shared" si="13"/>
        <v>13.899999999999999</v>
      </c>
      <c r="P83" s="263">
        <f t="shared" ref="P83:P85" si="15">$E$21*E83*O83</f>
        <v>209.459704669416</v>
      </c>
    </row>
    <row r="84" spans="1:16">
      <c r="A84" s="206" t="s">
        <v>327</v>
      </c>
      <c r="B84" s="206"/>
      <c r="C84" s="206"/>
      <c r="D84" s="206"/>
      <c r="E84" s="255">
        <v>0</v>
      </c>
      <c r="F84" s="254">
        <v>-0.3</v>
      </c>
      <c r="G84" s="254">
        <v>4.2</v>
      </c>
      <c r="H84" s="254">
        <v>19.7</v>
      </c>
      <c r="I84" s="254">
        <f t="shared" si="10"/>
        <v>19.7</v>
      </c>
      <c r="J84" s="254"/>
      <c r="K84" s="263">
        <f t="shared" si="14"/>
        <v>0</v>
      </c>
      <c r="L84" s="264">
        <f t="shared" si="11"/>
        <v>25.700000000000003</v>
      </c>
      <c r="M84" s="265">
        <v>10</v>
      </c>
      <c r="N84" s="264">
        <f t="shared" si="12"/>
        <v>26.200000000000003</v>
      </c>
      <c r="O84" s="264">
        <f t="shared" si="13"/>
        <v>26.200000000000003</v>
      </c>
      <c r="P84" s="263">
        <f t="shared" si="15"/>
        <v>0</v>
      </c>
    </row>
    <row r="85" spans="1:16">
      <c r="A85" s="206" t="s">
        <v>328</v>
      </c>
      <c r="B85" s="206"/>
      <c r="C85" s="206"/>
      <c r="D85" s="206"/>
      <c r="E85" s="255">
        <v>0</v>
      </c>
      <c r="F85" s="254">
        <v>10.8</v>
      </c>
      <c r="G85" s="254">
        <v>14.1</v>
      </c>
      <c r="H85" s="254">
        <v>7.4</v>
      </c>
      <c r="I85" s="254">
        <f t="shared" si="10"/>
        <v>7.4</v>
      </c>
      <c r="J85" s="254"/>
      <c r="K85" s="263">
        <f t="shared" si="14"/>
        <v>0</v>
      </c>
      <c r="L85" s="264">
        <f t="shared" si="11"/>
        <v>13.399999999999999</v>
      </c>
      <c r="M85" s="265">
        <v>10</v>
      </c>
      <c r="N85" s="264">
        <f t="shared" si="12"/>
        <v>13.899999999999999</v>
      </c>
      <c r="O85" s="264">
        <f t="shared" si="13"/>
        <v>13.899999999999999</v>
      </c>
      <c r="P85" s="263">
        <f t="shared" si="15"/>
        <v>0</v>
      </c>
    </row>
    <row r="86" spans="1:16">
      <c r="A86" s="206" t="s">
        <v>263</v>
      </c>
      <c r="B86" s="206"/>
      <c r="C86" s="206"/>
      <c r="D86" s="206"/>
      <c r="E86" s="256"/>
      <c r="F86" s="256">
        <f>$E$21*$E$82*F82+$E$21*$E$83*F83+$E$19*$E$81*F81+$E$21*$E$84*F84+$E$21*$E$85*F85</f>
        <v>189.86994811760013</v>
      </c>
      <c r="G86" s="256">
        <f>$E$21*$E$82*G82+$E$21*$E$83*G83+$E$19*$E$81*G81+$E$21*$E$84*G84+$E$21*$E$85*G85</f>
        <v>138.20465611281097</v>
      </c>
      <c r="H86" s="256">
        <f>$E$21*$E$82*H82+$E$21*$E$83*H83+$E$19*$E$81*H81+$E$21*$E$84*H84+$E$21*$E$85*H85</f>
        <v>199.77246241851805</v>
      </c>
      <c r="I86" s="254"/>
      <c r="J86" s="254"/>
      <c r="K86" s="256">
        <f>SUM(K81:K85)</f>
        <v>199.77246241851805</v>
      </c>
      <c r="L86" s="265"/>
      <c r="M86" s="265"/>
      <c r="N86" s="254"/>
      <c r="O86" s="265"/>
      <c r="P86" s="256">
        <f>SUM(P81:P85)</f>
        <v>332.70295330584008</v>
      </c>
    </row>
    <row r="87" spans="1:16">
      <c r="A87" s="206"/>
      <c r="B87" s="206"/>
      <c r="C87" s="206"/>
      <c r="D87" s="206"/>
      <c r="E87" s="256"/>
      <c r="F87" s="256"/>
      <c r="G87" s="256"/>
      <c r="H87" s="256"/>
      <c r="I87" s="254"/>
      <c r="J87" s="254"/>
      <c r="K87" s="256"/>
      <c r="L87" s="265"/>
      <c r="M87" s="265"/>
      <c r="N87" s="254"/>
      <c r="O87" s="265"/>
      <c r="P87" s="256"/>
    </row>
    <row r="88" spans="1:16">
      <c r="A88" s="280" t="str">
        <f>A6</f>
        <v>NO BETA AREA CORRIDOR</v>
      </c>
      <c r="B88" s="206"/>
      <c r="C88" s="206"/>
      <c r="D88" s="206"/>
      <c r="E88" s="266"/>
      <c r="F88" s="267"/>
      <c r="G88" s="267"/>
      <c r="H88" s="267"/>
      <c r="I88" s="254"/>
      <c r="J88" s="254"/>
      <c r="K88" s="256"/>
      <c r="L88" s="265"/>
      <c r="M88" s="265"/>
      <c r="N88" s="254"/>
      <c r="O88" s="265"/>
      <c r="P88" s="256"/>
    </row>
    <row r="89" spans="1:16">
      <c r="A89" s="206" t="s">
        <v>264</v>
      </c>
      <c r="B89" s="206"/>
      <c r="C89" s="206"/>
      <c r="D89" s="206"/>
      <c r="E89" s="255">
        <f>K6</f>
        <v>0</v>
      </c>
      <c r="F89" s="254">
        <v>0.8</v>
      </c>
      <c r="G89" s="254">
        <v>12.5</v>
      </c>
      <c r="H89" s="254">
        <v>23.6</v>
      </c>
      <c r="I89" s="254">
        <f>F89</f>
        <v>0.8</v>
      </c>
      <c r="J89" s="254"/>
      <c r="K89" s="263">
        <f>$E$19*E89*I89</f>
        <v>0</v>
      </c>
      <c r="L89" s="264">
        <f>I89+($M$4-$C$4)-(34-26)</f>
        <v>6.8000000000000007</v>
      </c>
      <c r="M89" s="265">
        <v>10</v>
      </c>
      <c r="N89" s="264">
        <f>(11-M89)*0.5+L89</f>
        <v>7.3000000000000007</v>
      </c>
      <c r="O89" s="264">
        <f>N89</f>
        <v>7.3000000000000007</v>
      </c>
      <c r="P89" s="263">
        <f>$E$19*E89*O89</f>
        <v>0</v>
      </c>
    </row>
    <row r="90" spans="1:16">
      <c r="A90" s="206" t="s">
        <v>265</v>
      </c>
      <c r="B90" s="206"/>
      <c r="C90" s="206"/>
      <c r="D90" s="206"/>
      <c r="E90" s="255">
        <v>0</v>
      </c>
      <c r="F90" s="254">
        <v>-1.4</v>
      </c>
      <c r="G90" s="265">
        <v>3</v>
      </c>
      <c r="H90" s="254">
        <v>16.399999999999999</v>
      </c>
      <c r="I90" s="254">
        <f t="shared" ref="I90:I93" si="16">F90</f>
        <v>-1.4</v>
      </c>
      <c r="J90" s="254"/>
      <c r="K90" s="263">
        <f>$E$22*E90*I90</f>
        <v>0</v>
      </c>
      <c r="L90" s="264">
        <f t="shared" ref="L90:L93" si="17">I90+($M$4-$C$4)-(34-26)</f>
        <v>4.5999999999999996</v>
      </c>
      <c r="M90" s="265">
        <v>10</v>
      </c>
      <c r="N90" s="264">
        <f t="shared" ref="N90:N93" si="18">(11-M90)*0.5+L90</f>
        <v>5.0999999999999996</v>
      </c>
      <c r="O90" s="264">
        <f t="shared" ref="O90:O93" si="19">N90</f>
        <v>5.0999999999999996</v>
      </c>
      <c r="P90" s="263">
        <f>$E$21*E90*O90</f>
        <v>0</v>
      </c>
    </row>
    <row r="91" spans="1:16">
      <c r="A91" s="206" t="s">
        <v>277</v>
      </c>
      <c r="B91" s="206"/>
      <c r="C91" s="206"/>
      <c r="D91" s="206"/>
      <c r="E91" s="255">
        <f>N6</f>
        <v>78</v>
      </c>
      <c r="F91" s="254">
        <v>13.1</v>
      </c>
      <c r="G91" s="254">
        <v>8.1</v>
      </c>
      <c r="H91" s="254">
        <v>7.4</v>
      </c>
      <c r="I91" s="254">
        <f t="shared" si="16"/>
        <v>13.1</v>
      </c>
      <c r="J91" s="254"/>
      <c r="K91" s="263">
        <f t="shared" ref="K91:K93" si="20">$E$22*E91*I91</f>
        <v>247.97935750922346</v>
      </c>
      <c r="L91" s="264">
        <f t="shared" si="17"/>
        <v>19.100000000000001</v>
      </c>
      <c r="M91" s="265">
        <v>10</v>
      </c>
      <c r="N91" s="264">
        <f t="shared" si="18"/>
        <v>19.600000000000001</v>
      </c>
      <c r="O91" s="264">
        <f t="shared" si="19"/>
        <v>19.600000000000001</v>
      </c>
      <c r="P91" s="263">
        <f t="shared" ref="P91:P93" si="21">$E$21*E91*O91</f>
        <v>548.51318345084485</v>
      </c>
    </row>
    <row r="92" spans="1:16">
      <c r="A92" s="206" t="s">
        <v>327</v>
      </c>
      <c r="B92" s="206"/>
      <c r="C92" s="206"/>
      <c r="D92" s="206"/>
      <c r="E92" s="255">
        <v>0</v>
      </c>
      <c r="F92" s="254">
        <v>-0.3</v>
      </c>
      <c r="G92" s="254">
        <v>4.2</v>
      </c>
      <c r="H92" s="254">
        <v>19.7</v>
      </c>
      <c r="I92" s="254">
        <f t="shared" si="16"/>
        <v>-0.3</v>
      </c>
      <c r="J92" s="254"/>
      <c r="K92" s="263">
        <f t="shared" si="20"/>
        <v>0</v>
      </c>
      <c r="L92" s="264">
        <f t="shared" si="17"/>
        <v>5.6999999999999993</v>
      </c>
      <c r="M92" s="265">
        <v>10</v>
      </c>
      <c r="N92" s="264">
        <f t="shared" si="18"/>
        <v>6.1999999999999993</v>
      </c>
      <c r="O92" s="264">
        <f t="shared" si="19"/>
        <v>6.1999999999999993</v>
      </c>
      <c r="P92" s="263">
        <f t="shared" si="21"/>
        <v>0</v>
      </c>
    </row>
    <row r="93" spans="1:16">
      <c r="A93" s="206" t="s">
        <v>328</v>
      </c>
      <c r="B93" s="206"/>
      <c r="C93" s="206"/>
      <c r="D93" s="206"/>
      <c r="E93" s="255">
        <v>0</v>
      </c>
      <c r="F93" s="254">
        <v>10.8</v>
      </c>
      <c r="G93" s="254">
        <v>14.1</v>
      </c>
      <c r="H93" s="254">
        <v>7.4</v>
      </c>
      <c r="I93" s="254">
        <f t="shared" si="16"/>
        <v>10.8</v>
      </c>
      <c r="J93" s="254"/>
      <c r="K93" s="263">
        <f t="shared" si="20"/>
        <v>0</v>
      </c>
      <c r="L93" s="264">
        <f t="shared" si="17"/>
        <v>16.8</v>
      </c>
      <c r="M93" s="265">
        <v>10</v>
      </c>
      <c r="N93" s="264">
        <f t="shared" si="18"/>
        <v>17.3</v>
      </c>
      <c r="O93" s="264">
        <f t="shared" si="19"/>
        <v>17.3</v>
      </c>
      <c r="P93" s="263">
        <f t="shared" si="21"/>
        <v>0</v>
      </c>
    </row>
    <row r="94" spans="1:16">
      <c r="A94" s="206" t="s">
        <v>263</v>
      </c>
      <c r="B94" s="206"/>
      <c r="C94" s="206"/>
      <c r="D94" s="206"/>
      <c r="E94" s="256"/>
      <c r="F94" s="256">
        <f>$E$22*$E$90*F90+$E$22*$E$91*F91+$E$19*$E$89*F89+$E$22*$E$92*F92+$E$22*$E$93*F93</f>
        <v>247.97935750922346</v>
      </c>
      <c r="G94" s="256">
        <f>$E$22*$E$90*G90+$E$22*$E$91*G91+$E$19*$E$89*G89+$E$22*$E$92*G92+$E$22*$E$93*G93</f>
        <v>153.33074777287862</v>
      </c>
      <c r="H94" s="256">
        <f>$E$22*$E$90*H90+$E$22*$E$91*H91+$E$19*$E$89*H89+$E$22*$E$92*H92+$E$22*$E$93*H93</f>
        <v>140.07994240979036</v>
      </c>
      <c r="I94" s="254"/>
      <c r="J94" s="254"/>
      <c r="K94" s="256">
        <f>SUM(K89:K93)</f>
        <v>247.97935750922346</v>
      </c>
      <c r="L94" s="265"/>
      <c r="M94" s="265"/>
      <c r="N94" s="254"/>
      <c r="O94" s="265"/>
      <c r="P94" s="256">
        <f>SUM(P89:P93)</f>
        <v>548.51318345084485</v>
      </c>
    </row>
    <row r="95" spans="1:16">
      <c r="A95" s="206"/>
      <c r="B95" s="206"/>
      <c r="C95" s="206"/>
      <c r="D95" s="206"/>
      <c r="E95" s="256"/>
      <c r="F95" s="256"/>
      <c r="G95" s="256"/>
      <c r="H95" s="256"/>
      <c r="I95" s="254"/>
      <c r="J95" s="254"/>
      <c r="K95" s="256"/>
      <c r="L95" s="265"/>
      <c r="M95" s="265"/>
      <c r="N95" s="254"/>
      <c r="O95" s="265"/>
      <c r="P95" s="256"/>
    </row>
  </sheetData>
  <mergeCells count="24">
    <mergeCell ref="P9:R9"/>
    <mergeCell ref="S9:U9"/>
    <mergeCell ref="Z9:Z10"/>
    <mergeCell ref="C9:C10"/>
    <mergeCell ref="D9:F9"/>
    <mergeCell ref="G9:I9"/>
    <mergeCell ref="J9:L9"/>
    <mergeCell ref="M9:O9"/>
    <mergeCell ref="N71:N77"/>
    <mergeCell ref="O71:O77"/>
    <mergeCell ref="A1:B2"/>
    <mergeCell ref="C1:Z1"/>
    <mergeCell ref="C2:C3"/>
    <mergeCell ref="D2:F2"/>
    <mergeCell ref="G2:I2"/>
    <mergeCell ref="J2:L2"/>
    <mergeCell ref="M2:O2"/>
    <mergeCell ref="P2:R2"/>
    <mergeCell ref="S2:U2"/>
    <mergeCell ref="Z2:Z3"/>
    <mergeCell ref="N66:N68"/>
    <mergeCell ref="O66:O68"/>
    <mergeCell ref="A8:B9"/>
    <mergeCell ref="C8:Z8"/>
  </mergeCells>
  <conditionalFormatting sqref="F86:H87">
    <cfRule type="colorScale" priority="10">
      <colorScale>
        <cfvo type="min"/>
        <cfvo type="max"/>
        <color rgb="FFFCFCFF"/>
        <color rgb="FFF8696B"/>
      </colorScale>
    </cfRule>
  </conditionalFormatting>
  <conditionalFormatting sqref="F88:H88">
    <cfRule type="colorScale" priority="1">
      <colorScale>
        <cfvo type="min"/>
        <cfvo type="max"/>
        <color rgb="FFFCFCFF"/>
        <color rgb="FFF8696B"/>
      </colorScale>
    </cfRule>
  </conditionalFormatting>
  <conditionalFormatting sqref="F94:H95">
    <cfRule type="colorScale" priority="3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C125"/>
  <sheetViews>
    <sheetView zoomScaleNormal="100" workbookViewId="0">
      <selection activeCell="M68" sqref="M68"/>
    </sheetView>
  </sheetViews>
  <sheetFormatPr defaultColWidth="8.88671875" defaultRowHeight="13.2"/>
  <cols>
    <col min="1" max="1" width="36" style="191" bestFit="1" customWidth="1"/>
    <col min="2" max="2" width="8.44140625" style="191" customWidth="1"/>
    <col min="3" max="3" width="11.5546875" style="191" customWidth="1"/>
    <col min="4" max="4" width="6.109375" style="191" bestFit="1" customWidth="1"/>
    <col min="5" max="5" width="15.44140625" style="191" customWidth="1"/>
    <col min="6" max="6" width="12.6640625" style="191" customWidth="1"/>
    <col min="7" max="7" width="6.109375" style="191" bestFit="1" customWidth="1"/>
    <col min="8" max="8" width="15.44140625" style="191" customWidth="1"/>
    <col min="9" max="9" width="12.6640625" style="191" customWidth="1"/>
    <col min="10" max="10" width="6.109375" style="191" bestFit="1" customWidth="1"/>
    <col min="11" max="11" width="15.5546875" style="191" customWidth="1"/>
    <col min="12" max="12" width="12.6640625" style="191" customWidth="1"/>
    <col min="13" max="13" width="6.109375" style="191" bestFit="1" customWidth="1"/>
    <col min="14" max="14" width="15.44140625" style="191" customWidth="1"/>
    <col min="15" max="15" width="12.6640625" style="191" customWidth="1"/>
    <col min="16" max="16" width="6.109375" style="191" customWidth="1"/>
    <col min="17" max="17" width="15.44140625" style="191" customWidth="1"/>
    <col min="18" max="18" width="12.6640625" style="191" customWidth="1"/>
    <col min="19" max="19" width="6.109375" style="191" customWidth="1"/>
    <col min="20" max="20" width="15.33203125" style="191" customWidth="1"/>
    <col min="21" max="21" width="12.6640625" style="191" customWidth="1"/>
    <col min="22" max="23" width="18.88671875" style="191" bestFit="1" customWidth="1"/>
    <col min="24" max="24" width="15.88671875" style="191" customWidth="1"/>
    <col min="25" max="25" width="10.88671875" style="191" customWidth="1"/>
    <col min="26" max="26" width="11" style="191" customWidth="1"/>
    <col min="27" max="27" width="8.88671875" style="191"/>
    <col min="28" max="28" width="15.33203125" style="191" customWidth="1"/>
    <col min="29" max="16384" width="8.88671875" style="191"/>
  </cols>
  <sheetData>
    <row r="1" spans="1:29" ht="18" customHeight="1">
      <c r="A1" s="707" t="s">
        <v>29</v>
      </c>
      <c r="B1" s="708"/>
      <c r="C1" s="711" t="s">
        <v>191</v>
      </c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</row>
    <row r="2" spans="1:29" s="235" customFormat="1" ht="46.2" customHeight="1">
      <c r="A2" s="709"/>
      <c r="B2" s="710"/>
      <c r="C2" s="712" t="s">
        <v>192</v>
      </c>
      <c r="D2" s="712" t="s">
        <v>246</v>
      </c>
      <c r="E2" s="712"/>
      <c r="F2" s="712"/>
      <c r="G2" s="712" t="s">
        <v>342</v>
      </c>
      <c r="H2" s="712"/>
      <c r="I2" s="712"/>
      <c r="J2" s="712" t="s">
        <v>193</v>
      </c>
      <c r="K2" s="712"/>
      <c r="L2" s="712"/>
      <c r="M2" s="712" t="s">
        <v>194</v>
      </c>
      <c r="N2" s="712"/>
      <c r="O2" s="712"/>
      <c r="P2" s="712" t="s">
        <v>248</v>
      </c>
      <c r="Q2" s="712"/>
      <c r="R2" s="712"/>
      <c r="S2" s="712" t="s">
        <v>249</v>
      </c>
      <c r="T2" s="712"/>
      <c r="U2" s="712"/>
      <c r="V2" s="216" t="s">
        <v>195</v>
      </c>
      <c r="W2" s="216" t="s">
        <v>196</v>
      </c>
      <c r="X2" s="216" t="s">
        <v>197</v>
      </c>
      <c r="Y2" s="216" t="s">
        <v>198</v>
      </c>
      <c r="Z2" s="713" t="s">
        <v>199</v>
      </c>
    </row>
    <row r="3" spans="1:29">
      <c r="A3" s="236" t="s">
        <v>8</v>
      </c>
      <c r="B3" s="215" t="s">
        <v>85</v>
      </c>
      <c r="C3" s="711"/>
      <c r="D3" s="192" t="s">
        <v>200</v>
      </c>
      <c r="E3" s="192" t="s">
        <v>201</v>
      </c>
      <c r="F3" s="192" t="s">
        <v>202</v>
      </c>
      <c r="G3" s="192" t="s">
        <v>200</v>
      </c>
      <c r="H3" s="192" t="s">
        <v>201</v>
      </c>
      <c r="I3" s="192" t="s">
        <v>202</v>
      </c>
      <c r="J3" s="192" t="s">
        <v>200</v>
      </c>
      <c r="K3" s="192" t="s">
        <v>201</v>
      </c>
      <c r="L3" s="192" t="s">
        <v>202</v>
      </c>
      <c r="M3" s="192" t="s">
        <v>200</v>
      </c>
      <c r="N3" s="192" t="s">
        <v>201</v>
      </c>
      <c r="O3" s="192" t="s">
        <v>202</v>
      </c>
      <c r="P3" s="192" t="s">
        <v>200</v>
      </c>
      <c r="Q3" s="192" t="s">
        <v>201</v>
      </c>
      <c r="R3" s="192" t="s">
        <v>202</v>
      </c>
      <c r="S3" s="192" t="s">
        <v>200</v>
      </c>
      <c r="T3" s="192" t="s">
        <v>201</v>
      </c>
      <c r="U3" s="192" t="s">
        <v>202</v>
      </c>
      <c r="V3" s="192" t="s">
        <v>202</v>
      </c>
      <c r="W3" s="192" t="s">
        <v>202</v>
      </c>
      <c r="X3" s="192" t="s">
        <v>202</v>
      </c>
      <c r="Y3" s="192"/>
      <c r="Z3" s="714"/>
      <c r="AA3" s="193" t="s">
        <v>203</v>
      </c>
      <c r="AB3" s="193"/>
    </row>
    <row r="4" spans="1:29">
      <c r="A4" s="199" t="str">
        <f>'Design Criteria'!D10</f>
        <v>ENTRANCE</v>
      </c>
      <c r="B4" s="237" t="str">
        <f>'Design Criteria'!C10</f>
        <v>A001</v>
      </c>
      <c r="C4" s="211">
        <f>'Design Criteria'!M10</f>
        <v>22</v>
      </c>
      <c r="D4" s="211">
        <v>15</v>
      </c>
      <c r="E4" s="211">
        <f>'Design Criteria'!J10</f>
        <v>18.510000000000002</v>
      </c>
      <c r="F4" s="195">
        <v>0</v>
      </c>
      <c r="G4" s="211">
        <v>30</v>
      </c>
      <c r="H4" s="211">
        <v>0</v>
      </c>
      <c r="I4" s="239">
        <f>$E$31*H4*(-C4+G4)</f>
        <v>0</v>
      </c>
      <c r="J4" s="211">
        <f>'Design Criteria'!$M$46</f>
        <v>36</v>
      </c>
      <c r="K4" s="238">
        <v>0</v>
      </c>
      <c r="L4" s="239">
        <f t="shared" ref="L4:L9" si="0">$E$27*K4*(-C4+J4)</f>
        <v>0</v>
      </c>
      <c r="M4" s="211">
        <f>'Design Criteria'!$M$46</f>
        <v>36</v>
      </c>
      <c r="N4" s="197">
        <f>(1.5)*5.5</f>
        <v>8.25</v>
      </c>
      <c r="O4" s="239">
        <f t="shared" ref="O4:O9" si="1">$E$29*N4*(M4-C4)</f>
        <v>28.030549806532893</v>
      </c>
      <c r="P4" s="211">
        <f>'Design Criteria'!$M$46</f>
        <v>36</v>
      </c>
      <c r="Q4" s="238">
        <v>0</v>
      </c>
      <c r="R4" s="239">
        <f t="shared" ref="R4:R9" si="2">$E$30*Q4*(P4-C4)</f>
        <v>0</v>
      </c>
      <c r="S4" s="211">
        <v>5</v>
      </c>
      <c r="T4" s="211">
        <f>(11.5)*4.8</f>
        <v>55.199999999999996</v>
      </c>
      <c r="U4" s="195">
        <v>0</v>
      </c>
      <c r="V4" s="239">
        <f>MAX(SUM(P85)-L4,0)</f>
        <v>0</v>
      </c>
      <c r="W4" s="239">
        <f t="shared" ref="W4" si="3">SUM(M69:M69)</f>
        <v>35.646630697674418</v>
      </c>
      <c r="X4" s="239">
        <f>MAX(SUM(P86:P89)-O4,0)</f>
        <v>11.212219922613162</v>
      </c>
      <c r="Y4" s="239">
        <v>1</v>
      </c>
      <c r="Z4" s="281">
        <f t="shared" ref="Z4:Z9" si="4">(F4+I4+O4+R4+U4+L4+V4+W4+X4)*Y4/1000</f>
        <v>7.4889400426820477E-2</v>
      </c>
      <c r="AA4" s="334">
        <f>(Z4)/'Design Criteria'!$L$10*1000</f>
        <v>0.77805552535864686</v>
      </c>
      <c r="AB4" s="198"/>
    </row>
    <row r="5" spans="1:29">
      <c r="A5" s="199" t="str">
        <f>'Design Criteria'!D11</f>
        <v>HANDLING AREA</v>
      </c>
      <c r="B5" s="237" t="str">
        <f>'Design Criteria'!C11</f>
        <v>A002</v>
      </c>
      <c r="C5" s="211">
        <f>'Design Criteria'!M11</f>
        <v>22</v>
      </c>
      <c r="D5" s="211">
        <v>15</v>
      </c>
      <c r="E5" s="211">
        <f>'Design Criteria'!J11</f>
        <v>366.14</v>
      </c>
      <c r="F5" s="195">
        <v>0</v>
      </c>
      <c r="G5" s="211">
        <v>30</v>
      </c>
      <c r="H5" s="211">
        <f>E5</f>
        <v>366.14</v>
      </c>
      <c r="I5" s="239">
        <f>$E$31*H5*(-C5+G5)</f>
        <v>2257.6813590508218</v>
      </c>
      <c r="J5" s="211">
        <f>'Design Criteria'!$M$46</f>
        <v>36</v>
      </c>
      <c r="K5" s="238">
        <v>0</v>
      </c>
      <c r="L5" s="239">
        <f t="shared" si="0"/>
        <v>0</v>
      </c>
      <c r="M5" s="211">
        <f>'Design Criteria'!$M$46</f>
        <v>36</v>
      </c>
      <c r="N5" s="197">
        <f>(23)*5.5+(3.5+6)*5.5+(3.5)*5.5</f>
        <v>198</v>
      </c>
      <c r="O5" s="239">
        <f t="shared" si="1"/>
        <v>672.73319535678934</v>
      </c>
      <c r="P5" s="211">
        <f>'Design Criteria'!$M$46</f>
        <v>36</v>
      </c>
      <c r="Q5" s="238">
        <f>2.5*1.5+3.5*1.5+1.2*1.2</f>
        <v>10.44</v>
      </c>
      <c r="R5" s="239">
        <f t="shared" si="2"/>
        <v>365.4</v>
      </c>
      <c r="S5" s="211">
        <v>5</v>
      </c>
      <c r="T5" s="211">
        <f>(8.1+6.5)*4.8+(4.5)*4.8</f>
        <v>91.679999999999993</v>
      </c>
      <c r="U5" s="195">
        <v>0</v>
      </c>
      <c r="V5" s="239">
        <f>MAX(SUM(P77)-L5,0)</f>
        <v>0</v>
      </c>
      <c r="W5" s="239">
        <f>SUM(M68:M69)</f>
        <v>1655.9480260465116</v>
      </c>
      <c r="X5" s="239">
        <f>MAX(SUM(P78:P81)-O5,0)</f>
        <v>343.57445334293175</v>
      </c>
      <c r="Y5" s="239">
        <v>1</v>
      </c>
      <c r="Z5" s="281">
        <f>(F5+I5+O5+R5+U5+L5+V5+W5+X5)*Y5/1000</f>
        <v>5.295337033797054</v>
      </c>
      <c r="AA5" s="334">
        <f>(Z5)/'Design Criteria'!$L$11*1000</f>
        <v>2.7812695825667015</v>
      </c>
      <c r="AB5" s="198"/>
    </row>
    <row r="6" spans="1:29">
      <c r="A6" s="199" t="str">
        <f>'Design Criteria'!D13</f>
        <v>AIRLOCK VT</v>
      </c>
      <c r="B6" s="237" t="str">
        <f>'Design Criteria'!C13</f>
        <v>A102</v>
      </c>
      <c r="C6" s="211">
        <f>'Design Criteria'!M13</f>
        <v>22</v>
      </c>
      <c r="D6" s="211">
        <v>15</v>
      </c>
      <c r="E6" s="211">
        <v>0</v>
      </c>
      <c r="F6" s="195">
        <v>0</v>
      </c>
      <c r="G6" s="211">
        <v>30</v>
      </c>
      <c r="H6" s="211">
        <f>'Design Criteria'!J13</f>
        <v>5.9</v>
      </c>
      <c r="I6" s="239">
        <f>$E$32*H6*(-C6+G6)</f>
        <v>123.37633136094678</v>
      </c>
      <c r="J6" s="211">
        <f>'Design Criteria'!$M$46</f>
        <v>36</v>
      </c>
      <c r="K6" s="238">
        <v>0</v>
      </c>
      <c r="L6" s="239">
        <f t="shared" si="0"/>
        <v>0</v>
      </c>
      <c r="M6" s="211">
        <f>'Design Criteria'!$M$46</f>
        <v>36</v>
      </c>
      <c r="N6" s="197">
        <f>(2.8)*2.7</f>
        <v>7.56</v>
      </c>
      <c r="O6" s="239">
        <f t="shared" si="1"/>
        <v>25.686176549986502</v>
      </c>
      <c r="P6" s="211">
        <f>'Design Criteria'!$M$46</f>
        <v>36</v>
      </c>
      <c r="Q6" s="238">
        <v>0</v>
      </c>
      <c r="R6" s="239">
        <f t="shared" si="2"/>
        <v>0</v>
      </c>
      <c r="S6" s="211">
        <v>30</v>
      </c>
      <c r="T6" s="211">
        <f>2.2*2.7</f>
        <v>5.9400000000000013</v>
      </c>
      <c r="U6" s="195">
        <f>$E$28*T6*(S6-C6)</f>
        <v>16.740000000000002</v>
      </c>
      <c r="V6" s="239">
        <f>MAX(SUM(P93)-L6,0)</f>
        <v>0</v>
      </c>
      <c r="W6" s="239">
        <f>SUM(M70:M70)</f>
        <v>0</v>
      </c>
      <c r="X6" s="239">
        <f>MAX(SUM(P94:P97)-O6,0)</f>
        <v>10.274470619994606</v>
      </c>
      <c r="Y6" s="239">
        <v>1</v>
      </c>
      <c r="Z6" s="281">
        <f t="shared" si="4"/>
        <v>0.17607697853092791</v>
      </c>
      <c r="AA6" s="334">
        <f>(Z6)/'Design Criteria'!$L$13*1000</f>
        <v>11.053168771558562</v>
      </c>
      <c r="AB6" s="198"/>
    </row>
    <row r="7" spans="1:29">
      <c r="A7" s="199" t="str">
        <f>'Design Criteria'!D14</f>
        <v>CORRIDOR</v>
      </c>
      <c r="B7" s="237" t="str">
        <f>'Design Criteria'!C14</f>
        <v>A103</v>
      </c>
      <c r="C7" s="211">
        <f>'Design Criteria'!M14</f>
        <v>22</v>
      </c>
      <c r="D7" s="211">
        <v>15</v>
      </c>
      <c r="E7" s="211">
        <v>0</v>
      </c>
      <c r="F7" s="195">
        <v>0</v>
      </c>
      <c r="G7" s="211">
        <v>30</v>
      </c>
      <c r="H7" s="211">
        <f>'Design Criteria'!J14</f>
        <v>23.36</v>
      </c>
      <c r="I7" s="239">
        <f>$E$32*H7*(-C7+G7)</f>
        <v>488.48662721893498</v>
      </c>
      <c r="J7" s="211">
        <f>'Design Criteria'!$M$46</f>
        <v>36</v>
      </c>
      <c r="K7" s="238">
        <v>0</v>
      </c>
      <c r="L7" s="239">
        <f t="shared" si="0"/>
        <v>0</v>
      </c>
      <c r="M7" s="211">
        <f>'Design Criteria'!$M$46</f>
        <v>36</v>
      </c>
      <c r="N7" s="197">
        <f>(1.5)*2.7</f>
        <v>4.0500000000000007</v>
      </c>
      <c r="O7" s="239">
        <f t="shared" si="1"/>
        <v>13.760451723207058</v>
      </c>
      <c r="P7" s="211">
        <f>'Design Criteria'!$M$46</f>
        <v>36</v>
      </c>
      <c r="Q7" s="238">
        <f>1.2*1.2</f>
        <v>1.44</v>
      </c>
      <c r="R7" s="239">
        <f t="shared" si="2"/>
        <v>50.399999999999991</v>
      </c>
      <c r="S7" s="211">
        <v>30</v>
      </c>
      <c r="T7" s="211">
        <f>1.5*2.7</f>
        <v>4.0500000000000007</v>
      </c>
      <c r="U7" s="195">
        <f>$E$28*T7*(S7-C7)</f>
        <v>11.413636363636364</v>
      </c>
      <c r="V7" s="239">
        <f>MAX(SUM(P101)-L7,0)</f>
        <v>0</v>
      </c>
      <c r="W7" s="239">
        <f>SUM(M71:M71)</f>
        <v>259.24822325581391</v>
      </c>
      <c r="X7" s="239">
        <f>MAX(SUM(P102:P105)-O7,0)</f>
        <v>5.5041806892828227</v>
      </c>
      <c r="Y7" s="239">
        <v>1</v>
      </c>
      <c r="Z7" s="281">
        <f t="shared" si="4"/>
        <v>0.82881311925087509</v>
      </c>
      <c r="AA7" s="334">
        <f>(Z7)/'Design Criteria'!$L$14*1000</f>
        <v>13.140745802430159</v>
      </c>
      <c r="AB7" s="198"/>
    </row>
    <row r="8" spans="1:29">
      <c r="A8" s="199" t="str">
        <f>'Design Criteria'!D22</f>
        <v>FEMALE WC</v>
      </c>
      <c r="B8" s="237" t="str">
        <f>'Design Criteria'!C22</f>
        <v>A106</v>
      </c>
      <c r="C8" s="211">
        <f>'Design Criteria'!M22</f>
        <v>22</v>
      </c>
      <c r="D8" s="211">
        <v>15</v>
      </c>
      <c r="E8" s="211">
        <v>0</v>
      </c>
      <c r="F8" s="195">
        <v>0</v>
      </c>
      <c r="G8" s="211">
        <v>30</v>
      </c>
      <c r="H8" s="211">
        <f>'Design Criteria'!J22</f>
        <v>23</v>
      </c>
      <c r="I8" s="239">
        <f>$E$32*H8*(-C8+G8)</f>
        <v>480.95857988165687</v>
      </c>
      <c r="J8" s="211">
        <f>'Design Criteria'!$M$46</f>
        <v>36</v>
      </c>
      <c r="K8" s="238">
        <v>0</v>
      </c>
      <c r="L8" s="239">
        <f t="shared" si="0"/>
        <v>0</v>
      </c>
      <c r="M8" s="211">
        <f>'Design Criteria'!$M$46</f>
        <v>36</v>
      </c>
      <c r="N8" s="197">
        <v>0</v>
      </c>
      <c r="O8" s="239">
        <f t="shared" si="1"/>
        <v>0</v>
      </c>
      <c r="P8" s="211">
        <f>'Design Criteria'!$M$46</f>
        <v>36</v>
      </c>
      <c r="Q8" s="238">
        <v>0</v>
      </c>
      <c r="R8" s="239">
        <f t="shared" si="2"/>
        <v>0</v>
      </c>
      <c r="S8" s="211">
        <v>30</v>
      </c>
      <c r="T8" s="211">
        <f>(3.2)*2.7</f>
        <v>8.64</v>
      </c>
      <c r="U8" s="195">
        <f>$E$28*T8*(S8-C8)</f>
        <v>24.349090909090908</v>
      </c>
      <c r="V8" s="239">
        <v>0</v>
      </c>
      <c r="W8" s="239">
        <v>0</v>
      </c>
      <c r="X8" s="239">
        <v>0</v>
      </c>
      <c r="Y8" s="239">
        <v>1</v>
      </c>
      <c r="Z8" s="281">
        <f t="shared" si="4"/>
        <v>0.50530767079074779</v>
      </c>
      <c r="AA8" s="334">
        <f>(Z8)/'Design Criteria'!$L$22*1000</f>
        <v>8.1369995296416722</v>
      </c>
      <c r="AB8" s="198"/>
    </row>
    <row r="9" spans="1:29">
      <c r="A9" s="343" t="str">
        <f>'Design Criteria'!D23</f>
        <v>FEMALE CHANGING ROOM</v>
      </c>
      <c r="B9" s="344" t="str">
        <f>'Design Criteria'!C23</f>
        <v>A107</v>
      </c>
      <c r="C9" s="345">
        <f>'Design Criteria'!M23</f>
        <v>22</v>
      </c>
      <c r="D9" s="345">
        <v>15</v>
      </c>
      <c r="E9" s="345">
        <v>0</v>
      </c>
      <c r="F9" s="346">
        <v>0</v>
      </c>
      <c r="G9" s="345">
        <v>30</v>
      </c>
      <c r="H9" s="345">
        <f>'Design Criteria'!J23</f>
        <v>26</v>
      </c>
      <c r="I9" s="347">
        <f>$E$32*H9*(-C9+G9)</f>
        <v>543.69230769230774</v>
      </c>
      <c r="J9" s="345">
        <f>'Design Criteria'!$M$46</f>
        <v>36</v>
      </c>
      <c r="K9" s="348">
        <v>0</v>
      </c>
      <c r="L9" s="347">
        <f t="shared" si="0"/>
        <v>0</v>
      </c>
      <c r="M9" s="345">
        <f>'Design Criteria'!$M$46</f>
        <v>36</v>
      </c>
      <c r="N9" s="349">
        <v>0</v>
      </c>
      <c r="O9" s="347">
        <f t="shared" si="1"/>
        <v>0</v>
      </c>
      <c r="P9" s="345">
        <f>'Design Criteria'!$M$46</f>
        <v>36</v>
      </c>
      <c r="Q9" s="348">
        <v>0</v>
      </c>
      <c r="R9" s="347">
        <f t="shared" si="2"/>
        <v>0</v>
      </c>
      <c r="S9" s="345">
        <v>30</v>
      </c>
      <c r="T9" s="345">
        <f>(3.8)*2.7</f>
        <v>10.26</v>
      </c>
      <c r="U9" s="346">
        <f>$E$28*T9*(S9-C9)</f>
        <v>28.914545454545451</v>
      </c>
      <c r="V9" s="347">
        <v>0</v>
      </c>
      <c r="W9" s="347">
        <v>0</v>
      </c>
      <c r="X9" s="347">
        <v>0</v>
      </c>
      <c r="Y9" s="347">
        <v>1</v>
      </c>
      <c r="Z9" s="350">
        <f t="shared" si="4"/>
        <v>0.57260685314685311</v>
      </c>
      <c r="AA9" s="334">
        <f>(Z9)/'Design Criteria'!$L$23*1000</f>
        <v>8.1567927798697006</v>
      </c>
      <c r="AB9" s="198"/>
    </row>
    <row r="10" spans="1:29">
      <c r="A10" s="351"/>
      <c r="B10" s="219"/>
      <c r="C10" s="211"/>
      <c r="D10" s="211"/>
      <c r="E10" s="211"/>
      <c r="F10" s="195"/>
      <c r="G10" s="211"/>
      <c r="H10" s="211"/>
      <c r="I10" s="239"/>
      <c r="J10" s="211"/>
      <c r="K10" s="238"/>
      <c r="L10" s="239"/>
      <c r="M10" s="211"/>
      <c r="N10" s="197"/>
      <c r="O10" s="239"/>
      <c r="P10" s="211"/>
      <c r="Q10" s="238"/>
      <c r="R10" s="239"/>
      <c r="S10" s="211"/>
      <c r="T10" s="211"/>
      <c r="U10" s="195"/>
      <c r="V10" s="239"/>
      <c r="W10" s="239"/>
      <c r="X10" s="239"/>
      <c r="Y10" s="239"/>
      <c r="Z10" s="281"/>
      <c r="AA10" s="251"/>
      <c r="AB10" s="198"/>
    </row>
    <row r="11" spans="1:29">
      <c r="A11" s="343" t="str">
        <f>'Design Criteria'!D38</f>
        <v>ELECTRIC ROOM</v>
      </c>
      <c r="B11" s="344" t="str">
        <f>'Design Criteria'!C38</f>
        <v>E102</v>
      </c>
      <c r="C11" s="211">
        <f>'Design Criteria'!M38</f>
        <v>22</v>
      </c>
      <c r="D11" s="211">
        <v>15</v>
      </c>
      <c r="E11" s="211">
        <v>0</v>
      </c>
      <c r="F11" s="195">
        <v>0</v>
      </c>
      <c r="G11" s="211">
        <v>30</v>
      </c>
      <c r="H11" s="211">
        <v>0</v>
      </c>
      <c r="I11" s="239">
        <f>$E$32*H11*(-C11+G11)</f>
        <v>0</v>
      </c>
      <c r="J11" s="211">
        <f>'Design Criteria'!$M$46</f>
        <v>36</v>
      </c>
      <c r="K11" s="211">
        <f>'Design Criteria'!J38</f>
        <v>27</v>
      </c>
      <c r="L11" s="239">
        <f>$E$27*K11*(-C11+J11)</f>
        <v>159.41147864070598</v>
      </c>
      <c r="M11" s="211">
        <f>'Design Criteria'!$M$46</f>
        <v>36</v>
      </c>
      <c r="N11" s="197">
        <v>0</v>
      </c>
      <c r="O11" s="239">
        <f>$E$29*N11*(M11-C11)</f>
        <v>0</v>
      </c>
      <c r="P11" s="211">
        <f>'Design Criteria'!$M$46</f>
        <v>36</v>
      </c>
      <c r="Q11" s="238">
        <v>0</v>
      </c>
      <c r="R11" s="239">
        <f>$E$30*Q11*(P11-C11)</f>
        <v>0</v>
      </c>
      <c r="S11" s="211">
        <v>30</v>
      </c>
      <c r="T11" s="211">
        <f>(13)*4.9</f>
        <v>63.7</v>
      </c>
      <c r="U11" s="195">
        <f>$E$28*T11*(S11-C11)</f>
        <v>179.5181818181818</v>
      </c>
      <c r="V11" s="239">
        <f>MAX(SUM(P111)-L11,0)</f>
        <v>183.32320043681187</v>
      </c>
      <c r="W11" s="239">
        <v>0</v>
      </c>
      <c r="X11" s="239">
        <f>MAX(SUM(P112:P115)-O11,0)</f>
        <v>0</v>
      </c>
      <c r="Y11" s="239">
        <v>1</v>
      </c>
      <c r="Z11" s="281">
        <f>(F11+I11+O11+R11+U11+L11+V11+W11+X11)*Y11/1000</f>
        <v>0.52225286089569967</v>
      </c>
      <c r="AA11" s="251">
        <f>(Z11)/(K11*4.9)*1000</f>
        <v>3.9474895003454242</v>
      </c>
      <c r="AB11" s="198"/>
    </row>
    <row r="12" spans="1:29" ht="18" customHeight="1">
      <c r="A12" s="715" t="s">
        <v>29</v>
      </c>
      <c r="B12" s="716"/>
      <c r="C12" s="717" t="s">
        <v>204</v>
      </c>
      <c r="D12" s="717"/>
      <c r="E12" s="717"/>
      <c r="F12" s="717"/>
      <c r="G12" s="717"/>
      <c r="H12" s="717"/>
      <c r="I12" s="717"/>
      <c r="J12" s="717"/>
      <c r="K12" s="717"/>
      <c r="L12" s="717"/>
      <c r="M12" s="717"/>
      <c r="N12" s="717"/>
      <c r="O12" s="717"/>
      <c r="P12" s="717"/>
      <c r="Q12" s="717"/>
      <c r="R12" s="717"/>
      <c r="S12" s="717"/>
      <c r="T12" s="717"/>
      <c r="U12" s="717"/>
      <c r="V12" s="717"/>
      <c r="W12" s="717"/>
      <c r="X12" s="717"/>
      <c r="Y12" s="717"/>
      <c r="Z12" s="717"/>
    </row>
    <row r="13" spans="1:29" s="235" customFormat="1" ht="46.2" customHeight="1">
      <c r="A13" s="709"/>
      <c r="B13" s="710"/>
      <c r="C13" s="717" t="s">
        <v>192</v>
      </c>
      <c r="D13" s="717" t="s">
        <v>246</v>
      </c>
      <c r="E13" s="717"/>
      <c r="F13" s="717"/>
      <c r="G13" s="717" t="s">
        <v>247</v>
      </c>
      <c r="H13" s="717"/>
      <c r="I13" s="717"/>
      <c r="J13" s="717" t="s">
        <v>193</v>
      </c>
      <c r="K13" s="717"/>
      <c r="L13" s="717"/>
      <c r="M13" s="717" t="s">
        <v>194</v>
      </c>
      <c r="N13" s="717"/>
      <c r="O13" s="717"/>
      <c r="P13" s="717" t="s">
        <v>248</v>
      </c>
      <c r="Q13" s="717"/>
      <c r="R13" s="717"/>
      <c r="S13" s="717" t="s">
        <v>249</v>
      </c>
      <c r="T13" s="717"/>
      <c r="U13" s="717"/>
      <c r="V13" s="243" t="s">
        <v>195</v>
      </c>
      <c r="W13" s="243" t="s">
        <v>196</v>
      </c>
      <c r="X13" s="243" t="s">
        <v>197</v>
      </c>
      <c r="Y13" s="243" t="s">
        <v>198</v>
      </c>
      <c r="Z13" s="718" t="s">
        <v>199</v>
      </c>
      <c r="AB13" s="717" t="s">
        <v>337</v>
      </c>
    </row>
    <row r="14" spans="1:29">
      <c r="A14" s="236" t="s">
        <v>8</v>
      </c>
      <c r="B14" s="215" t="s">
        <v>85</v>
      </c>
      <c r="C14" s="720"/>
      <c r="D14" s="244" t="s">
        <v>200</v>
      </c>
      <c r="E14" s="244" t="s">
        <v>201</v>
      </c>
      <c r="F14" s="244" t="s">
        <v>202</v>
      </c>
      <c r="G14" s="244" t="s">
        <v>200</v>
      </c>
      <c r="H14" s="244" t="s">
        <v>201</v>
      </c>
      <c r="I14" s="244" t="s">
        <v>202</v>
      </c>
      <c r="J14" s="244" t="s">
        <v>200</v>
      </c>
      <c r="K14" s="244" t="s">
        <v>201</v>
      </c>
      <c r="L14" s="244" t="s">
        <v>202</v>
      </c>
      <c r="M14" s="244" t="s">
        <v>200</v>
      </c>
      <c r="N14" s="244" t="s">
        <v>201</v>
      </c>
      <c r="O14" s="244" t="s">
        <v>202</v>
      </c>
      <c r="P14" s="244" t="s">
        <v>200</v>
      </c>
      <c r="Q14" s="244" t="s">
        <v>201</v>
      </c>
      <c r="R14" s="244" t="s">
        <v>202</v>
      </c>
      <c r="S14" s="244" t="s">
        <v>200</v>
      </c>
      <c r="T14" s="244" t="s">
        <v>201</v>
      </c>
      <c r="U14" s="244" t="s">
        <v>202</v>
      </c>
      <c r="V14" s="244" t="s">
        <v>202</v>
      </c>
      <c r="W14" s="244" t="s">
        <v>202</v>
      </c>
      <c r="X14" s="244" t="s">
        <v>202</v>
      </c>
      <c r="Y14" s="244"/>
      <c r="Z14" s="719"/>
      <c r="AA14" s="193" t="s">
        <v>203</v>
      </c>
      <c r="AB14" s="720"/>
      <c r="AC14" s="193" t="s">
        <v>203</v>
      </c>
    </row>
    <row r="15" spans="1:29">
      <c r="A15" s="245" t="str">
        <f t="shared" ref="A15:B20" si="5">A4</f>
        <v>ENTRANCE</v>
      </c>
      <c r="B15" s="246" t="str">
        <f t="shared" si="5"/>
        <v>A001</v>
      </c>
      <c r="C15" s="211">
        <f>'Design Criteria'!Q10</f>
        <v>22</v>
      </c>
      <c r="D15" s="211">
        <v>10</v>
      </c>
      <c r="E15" s="251">
        <f t="shared" ref="E15:E20" si="6">E4</f>
        <v>18.510000000000002</v>
      </c>
      <c r="F15" s="239">
        <f t="shared" ref="F15:F20" si="7">-$E$26*E15*(D15-C15)</f>
        <v>82.244234170943557</v>
      </c>
      <c r="G15" s="211">
        <v>10</v>
      </c>
      <c r="H15" s="251">
        <f t="shared" ref="H15:H20" si="8">H4</f>
        <v>0</v>
      </c>
      <c r="I15" s="239">
        <f>$E$31*H15*(C15-G15)</f>
        <v>0</v>
      </c>
      <c r="J15" s="211">
        <f>'Design Criteria'!$Q$46</f>
        <v>-5</v>
      </c>
      <c r="K15" s="251">
        <f t="shared" ref="K15:K20" si="9">K4</f>
        <v>0</v>
      </c>
      <c r="L15" s="239">
        <f t="shared" ref="L15:L20" si="10">$E$27*K15*(C15-J15)</f>
        <v>0</v>
      </c>
      <c r="M15" s="211">
        <f>'Design Criteria'!$Q$46</f>
        <v>-5</v>
      </c>
      <c r="N15" s="251">
        <f t="shared" ref="N15:N20" si="11">N4</f>
        <v>8.25</v>
      </c>
      <c r="O15" s="239">
        <f t="shared" ref="O15:O20" si="12">-$E$29*N15*(M15-C15)</f>
        <v>54.058917484027717</v>
      </c>
      <c r="P15" s="211">
        <f>'Design Criteria'!$Q$46</f>
        <v>-5</v>
      </c>
      <c r="Q15" s="240">
        <f t="shared" ref="Q15:Q20" si="13">Q4</f>
        <v>0</v>
      </c>
      <c r="R15" s="239">
        <f t="shared" ref="R15:R20" si="14">$E$30*Q15*(-P15+C15)</f>
        <v>0</v>
      </c>
      <c r="S15" s="251">
        <f>S4</f>
        <v>5</v>
      </c>
      <c r="T15" s="251">
        <f>T4</f>
        <v>55.199999999999996</v>
      </c>
      <c r="U15" s="239">
        <f t="shared" ref="U15:U20" si="15">-$E$28*T15*(S15-C15)</f>
        <v>330.57272727272721</v>
      </c>
      <c r="V15" s="239">
        <v>0</v>
      </c>
      <c r="W15" s="239">
        <v>0</v>
      </c>
      <c r="X15" s="239">
        <v>0</v>
      </c>
      <c r="Y15" s="241">
        <v>1.21</v>
      </c>
      <c r="Z15" s="281">
        <f t="shared" ref="Z15:Z20" si="16">(F15+I15+O15+R15+U15+L15+V15+W15+X15)*Y15/1000</f>
        <v>0.56491981350251508</v>
      </c>
      <c r="AA15" s="334">
        <f>(Z15)/'Design Criteria'!$L$10*1000</f>
        <v>5.8691748067833913</v>
      </c>
      <c r="AB15" s="281">
        <f t="shared" ref="AB15:AB20" si="17">Z15</f>
        <v>0.56491981350251508</v>
      </c>
      <c r="AC15" s="334">
        <f>(AB15)/'Design Criteria'!$L$10*1000</f>
        <v>5.8691748067833913</v>
      </c>
    </row>
    <row r="16" spans="1:29">
      <c r="A16" s="245" t="str">
        <f t="shared" si="5"/>
        <v>HANDLING AREA</v>
      </c>
      <c r="B16" s="246" t="str">
        <f t="shared" si="5"/>
        <v>A002</v>
      </c>
      <c r="C16" s="211">
        <f>'Design Criteria'!Q11</f>
        <v>22</v>
      </c>
      <c r="D16" s="211">
        <v>10</v>
      </c>
      <c r="E16" s="251">
        <f t="shared" si="6"/>
        <v>366.14</v>
      </c>
      <c r="F16" s="239">
        <f t="shared" si="7"/>
        <v>1626.8451593381562</v>
      </c>
      <c r="G16" s="211">
        <v>10</v>
      </c>
      <c r="H16" s="251">
        <f t="shared" si="8"/>
        <v>366.14</v>
      </c>
      <c r="I16" s="239">
        <f>$E$31*H16*(C16-G16)</f>
        <v>3386.5220385762327</v>
      </c>
      <c r="J16" s="211">
        <f>'Design Criteria'!$Q$46</f>
        <v>-5</v>
      </c>
      <c r="K16" s="251">
        <f t="shared" si="9"/>
        <v>0</v>
      </c>
      <c r="L16" s="239">
        <f t="shared" si="10"/>
        <v>0</v>
      </c>
      <c r="M16" s="211">
        <f>'Design Criteria'!$Q$46</f>
        <v>-5</v>
      </c>
      <c r="N16" s="251">
        <f t="shared" si="11"/>
        <v>198</v>
      </c>
      <c r="O16" s="239">
        <f t="shared" si="12"/>
        <v>1297.4140196166652</v>
      </c>
      <c r="P16" s="211">
        <f>'Design Criteria'!$Q$46</f>
        <v>-5</v>
      </c>
      <c r="Q16" s="240">
        <f t="shared" si="13"/>
        <v>10.44</v>
      </c>
      <c r="R16" s="239">
        <f t="shared" si="14"/>
        <v>704.69999999999993</v>
      </c>
      <c r="S16" s="251">
        <f>S5</f>
        <v>5</v>
      </c>
      <c r="T16" s="251">
        <f>T5</f>
        <v>91.679999999999993</v>
      </c>
      <c r="U16" s="239">
        <f t="shared" si="15"/>
        <v>549.03818181818167</v>
      </c>
      <c r="V16" s="239">
        <v>0</v>
      </c>
      <c r="W16" s="239">
        <v>0</v>
      </c>
      <c r="X16" s="239">
        <v>0</v>
      </c>
      <c r="Y16" s="241">
        <v>1.21</v>
      </c>
      <c r="Z16" s="281">
        <f>(F16+I16+O16+R16+U16+L16+V16+W16+X16)*Y16/1000</f>
        <v>9.153068473212576</v>
      </c>
      <c r="AA16" s="334">
        <f>(Z16)/'Design Criteria'!$L$11*1000</f>
        <v>4.8074656569011944</v>
      </c>
      <c r="AB16" s="281">
        <f>Z16+B125/1000</f>
        <v>12.355394054607924</v>
      </c>
      <c r="AC16" s="334">
        <f>(AB16)/'Design Criteria'!$L$11*1000</f>
        <v>6.4894229480358101</v>
      </c>
    </row>
    <row r="17" spans="1:29">
      <c r="A17" s="245" t="str">
        <f t="shared" si="5"/>
        <v>AIRLOCK VT</v>
      </c>
      <c r="B17" s="246" t="str">
        <f t="shared" si="5"/>
        <v>A102</v>
      </c>
      <c r="C17" s="211">
        <f>'Design Criteria'!Q13</f>
        <v>22</v>
      </c>
      <c r="D17" s="211">
        <v>10</v>
      </c>
      <c r="E17" s="251">
        <f t="shared" si="6"/>
        <v>0</v>
      </c>
      <c r="F17" s="239">
        <f t="shared" si="7"/>
        <v>0</v>
      </c>
      <c r="G17" s="211">
        <v>10</v>
      </c>
      <c r="H17" s="251">
        <f t="shared" si="8"/>
        <v>5.9</v>
      </c>
      <c r="I17" s="239">
        <f>$E$32*H17*(C17-G17)</f>
        <v>185.06449704142017</v>
      </c>
      <c r="J17" s="211">
        <f>'Design Criteria'!$Q$46</f>
        <v>-5</v>
      </c>
      <c r="K17" s="251">
        <f t="shared" si="9"/>
        <v>0</v>
      </c>
      <c r="L17" s="239">
        <f t="shared" si="10"/>
        <v>0</v>
      </c>
      <c r="M17" s="211">
        <f>'Design Criteria'!$Q$46</f>
        <v>-5</v>
      </c>
      <c r="N17" s="251">
        <f t="shared" si="11"/>
        <v>7.56</v>
      </c>
      <c r="O17" s="239">
        <f t="shared" si="12"/>
        <v>49.5376262035454</v>
      </c>
      <c r="P17" s="211">
        <f>'Design Criteria'!$Q$46</f>
        <v>-5</v>
      </c>
      <c r="Q17" s="240">
        <f t="shared" si="13"/>
        <v>0</v>
      </c>
      <c r="R17" s="239">
        <f t="shared" si="14"/>
        <v>0</v>
      </c>
      <c r="S17" s="211">
        <v>10</v>
      </c>
      <c r="T17" s="251">
        <f>T6</f>
        <v>5.9400000000000013</v>
      </c>
      <c r="U17" s="239">
        <f t="shared" si="15"/>
        <v>25.110000000000003</v>
      </c>
      <c r="V17" s="239">
        <v>0</v>
      </c>
      <c r="W17" s="239">
        <v>0</v>
      </c>
      <c r="X17" s="239">
        <v>0</v>
      </c>
      <c r="Y17" s="241">
        <v>1</v>
      </c>
      <c r="Z17" s="281">
        <f t="shared" si="16"/>
        <v>0.25971212324496562</v>
      </c>
      <c r="AA17" s="334">
        <f>(Z17)/'Design Criteria'!$L$13*1000</f>
        <v>16.303334792527657</v>
      </c>
      <c r="AB17" s="281">
        <f t="shared" si="17"/>
        <v>0.25971212324496562</v>
      </c>
      <c r="AC17" s="334">
        <f>(AB17)/'Design Criteria'!$L$13*1000</f>
        <v>16.303334792527657</v>
      </c>
    </row>
    <row r="18" spans="1:29">
      <c r="A18" s="245" t="str">
        <f t="shared" si="5"/>
        <v>CORRIDOR</v>
      </c>
      <c r="B18" s="246" t="str">
        <f t="shared" si="5"/>
        <v>A103</v>
      </c>
      <c r="C18" s="211">
        <f>'Design Criteria'!Q14</f>
        <v>22</v>
      </c>
      <c r="D18" s="211">
        <v>10</v>
      </c>
      <c r="E18" s="251">
        <f t="shared" si="6"/>
        <v>0</v>
      </c>
      <c r="F18" s="239">
        <f t="shared" si="7"/>
        <v>0</v>
      </c>
      <c r="G18" s="211">
        <v>10</v>
      </c>
      <c r="H18" s="251">
        <f t="shared" si="8"/>
        <v>23.36</v>
      </c>
      <c r="I18" s="239">
        <f>$E$32*H18*(C18-G18)</f>
        <v>732.7299408284025</v>
      </c>
      <c r="J18" s="211">
        <f>'Design Criteria'!$Q$46</f>
        <v>-5</v>
      </c>
      <c r="K18" s="251">
        <f t="shared" si="9"/>
        <v>0</v>
      </c>
      <c r="L18" s="239">
        <f t="shared" si="10"/>
        <v>0</v>
      </c>
      <c r="M18" s="211">
        <f>'Design Criteria'!$Q$46</f>
        <v>-5</v>
      </c>
      <c r="N18" s="251">
        <f t="shared" si="11"/>
        <v>4.0500000000000007</v>
      </c>
      <c r="O18" s="239">
        <f t="shared" si="12"/>
        <v>26.53801403761361</v>
      </c>
      <c r="P18" s="211">
        <f>'Design Criteria'!$Q$46</f>
        <v>-5</v>
      </c>
      <c r="Q18" s="240">
        <f t="shared" si="13"/>
        <v>1.44</v>
      </c>
      <c r="R18" s="239">
        <f t="shared" si="14"/>
        <v>97.199999999999989</v>
      </c>
      <c r="S18" s="211">
        <v>10</v>
      </c>
      <c r="T18" s="251">
        <f>T7</f>
        <v>4.0500000000000007</v>
      </c>
      <c r="U18" s="239">
        <f t="shared" si="15"/>
        <v>17.120454545454546</v>
      </c>
      <c r="V18" s="239">
        <v>0</v>
      </c>
      <c r="W18" s="239">
        <v>0</v>
      </c>
      <c r="X18" s="239">
        <v>0</v>
      </c>
      <c r="Y18" s="241">
        <v>1</v>
      </c>
      <c r="Z18" s="281">
        <f t="shared" si="16"/>
        <v>0.87358840941147065</v>
      </c>
      <c r="AA18" s="334">
        <f>(Z18)/'Design Criteria'!$L$14*1000</f>
        <v>13.850653370932752</v>
      </c>
      <c r="AB18" s="281">
        <f t="shared" si="17"/>
        <v>0.87358840941147065</v>
      </c>
      <c r="AC18" s="334">
        <f>(AB18)/'Design Criteria'!$L$14*1000</f>
        <v>13.850653370932752</v>
      </c>
    </row>
    <row r="19" spans="1:29">
      <c r="A19" s="245" t="str">
        <f t="shared" si="5"/>
        <v>FEMALE WC</v>
      </c>
      <c r="B19" s="246" t="str">
        <f t="shared" si="5"/>
        <v>A106</v>
      </c>
      <c r="C19" s="211">
        <f>'Design Criteria'!Q22</f>
        <v>22</v>
      </c>
      <c r="D19" s="211">
        <v>10</v>
      </c>
      <c r="E19" s="251">
        <f t="shared" si="6"/>
        <v>0</v>
      </c>
      <c r="F19" s="239">
        <f t="shared" si="7"/>
        <v>0</v>
      </c>
      <c r="G19" s="211">
        <v>10</v>
      </c>
      <c r="H19" s="251">
        <f t="shared" si="8"/>
        <v>23</v>
      </c>
      <c r="I19" s="239">
        <f>$E$32*H19*(C19-G19)</f>
        <v>721.43786982248525</v>
      </c>
      <c r="J19" s="211">
        <f>'Design Criteria'!$Q$46</f>
        <v>-5</v>
      </c>
      <c r="K19" s="251">
        <f t="shared" si="9"/>
        <v>0</v>
      </c>
      <c r="L19" s="239">
        <f t="shared" si="10"/>
        <v>0</v>
      </c>
      <c r="M19" s="211">
        <f>'Design Criteria'!$Q$46</f>
        <v>-5</v>
      </c>
      <c r="N19" s="251">
        <f t="shared" si="11"/>
        <v>0</v>
      </c>
      <c r="O19" s="239">
        <f t="shared" si="12"/>
        <v>0</v>
      </c>
      <c r="P19" s="211">
        <f>'Design Criteria'!$Q$46</f>
        <v>-5</v>
      </c>
      <c r="Q19" s="240">
        <f t="shared" si="13"/>
        <v>0</v>
      </c>
      <c r="R19" s="239">
        <f t="shared" si="14"/>
        <v>0</v>
      </c>
      <c r="S19" s="211">
        <v>10</v>
      </c>
      <c r="T19" s="251">
        <f>T8</f>
        <v>8.64</v>
      </c>
      <c r="U19" s="239">
        <f t="shared" si="15"/>
        <v>36.523636363636363</v>
      </c>
      <c r="V19" s="239">
        <v>0</v>
      </c>
      <c r="W19" s="239">
        <v>0</v>
      </c>
      <c r="X19" s="239">
        <v>0</v>
      </c>
      <c r="Y19" s="241">
        <v>1</v>
      </c>
      <c r="Z19" s="281">
        <f t="shared" si="16"/>
        <v>0.75796150618612157</v>
      </c>
      <c r="AA19" s="334">
        <f>(Z19)/'Design Criteria'!$L$22*1000</f>
        <v>12.205499294462504</v>
      </c>
      <c r="AB19" s="281">
        <f t="shared" si="17"/>
        <v>0.75796150618612157</v>
      </c>
      <c r="AC19" s="334">
        <f>(AB19)/'Design Criteria'!$L$22*1000</f>
        <v>12.205499294462504</v>
      </c>
    </row>
    <row r="20" spans="1:29">
      <c r="A20" s="352" t="str">
        <f t="shared" si="5"/>
        <v>FEMALE CHANGING ROOM</v>
      </c>
      <c r="B20" s="353" t="str">
        <f t="shared" si="5"/>
        <v>A107</v>
      </c>
      <c r="C20" s="345">
        <f>'Design Criteria'!Q23</f>
        <v>22</v>
      </c>
      <c r="D20" s="345">
        <v>10</v>
      </c>
      <c r="E20" s="354">
        <f t="shared" si="6"/>
        <v>0</v>
      </c>
      <c r="F20" s="347">
        <f t="shared" si="7"/>
        <v>0</v>
      </c>
      <c r="G20" s="345">
        <v>10</v>
      </c>
      <c r="H20" s="354">
        <f t="shared" si="8"/>
        <v>26</v>
      </c>
      <c r="I20" s="347">
        <f>$E$32*H20*(C20-G20)</f>
        <v>815.53846153846166</v>
      </c>
      <c r="J20" s="345">
        <f>'Design Criteria'!$Q$46</f>
        <v>-5</v>
      </c>
      <c r="K20" s="354">
        <f t="shared" si="9"/>
        <v>0</v>
      </c>
      <c r="L20" s="347">
        <f t="shared" si="10"/>
        <v>0</v>
      </c>
      <c r="M20" s="345">
        <f>'Design Criteria'!$Q$46</f>
        <v>-5</v>
      </c>
      <c r="N20" s="354">
        <f t="shared" si="11"/>
        <v>0</v>
      </c>
      <c r="O20" s="347">
        <f t="shared" si="12"/>
        <v>0</v>
      </c>
      <c r="P20" s="345">
        <f>'Design Criteria'!$Q$46</f>
        <v>-5</v>
      </c>
      <c r="Q20" s="355">
        <f t="shared" si="13"/>
        <v>0</v>
      </c>
      <c r="R20" s="347">
        <f t="shared" si="14"/>
        <v>0</v>
      </c>
      <c r="S20" s="345">
        <v>10</v>
      </c>
      <c r="T20" s="354">
        <f>T9</f>
        <v>10.26</v>
      </c>
      <c r="U20" s="347">
        <f t="shared" si="15"/>
        <v>43.371818181818178</v>
      </c>
      <c r="V20" s="347">
        <v>0</v>
      </c>
      <c r="W20" s="347">
        <v>0</v>
      </c>
      <c r="X20" s="347">
        <v>0</v>
      </c>
      <c r="Y20" s="356">
        <v>1</v>
      </c>
      <c r="Z20" s="350">
        <f t="shared" si="16"/>
        <v>0.85891027972027989</v>
      </c>
      <c r="AA20" s="334">
        <f>(Z20)/'Design Criteria'!$L$23*1000</f>
        <v>12.235189169804556</v>
      </c>
      <c r="AB20" s="350">
        <f t="shared" si="17"/>
        <v>0.85891027972027989</v>
      </c>
      <c r="AC20" s="334">
        <f>(AB20)/'Design Criteria'!$L$23*1000</f>
        <v>12.235189169804556</v>
      </c>
    </row>
    <row r="21" spans="1:29">
      <c r="A21" s="357"/>
      <c r="B21" s="225"/>
      <c r="C21" s="211"/>
      <c r="D21" s="211"/>
      <c r="E21" s="251"/>
      <c r="F21" s="239"/>
      <c r="G21" s="211"/>
      <c r="H21" s="251"/>
      <c r="I21" s="239"/>
      <c r="J21" s="211"/>
      <c r="K21" s="251"/>
      <c r="L21" s="239"/>
      <c r="M21" s="211"/>
      <c r="N21" s="251"/>
      <c r="O21" s="239"/>
      <c r="P21" s="211"/>
      <c r="Q21" s="240"/>
      <c r="R21" s="239"/>
      <c r="S21" s="211"/>
      <c r="T21" s="251"/>
      <c r="U21" s="239"/>
      <c r="V21" s="239"/>
      <c r="W21" s="239"/>
      <c r="X21" s="239"/>
      <c r="Y21" s="241"/>
      <c r="Z21" s="281"/>
      <c r="AA21" s="251"/>
      <c r="AB21" s="281"/>
      <c r="AC21" s="251"/>
    </row>
    <row r="22" spans="1:29">
      <c r="A22" s="357" t="str">
        <f>A11</f>
        <v>ELECTRIC ROOM</v>
      </c>
      <c r="B22" s="225" t="str">
        <f>B11</f>
        <v>E102</v>
      </c>
      <c r="C22" s="211">
        <f>'Design Criteria'!Q38</f>
        <v>22</v>
      </c>
      <c r="D22" s="211">
        <v>10</v>
      </c>
      <c r="E22" s="251">
        <f>E11</f>
        <v>0</v>
      </c>
      <c r="F22" s="239">
        <f>-$E$26*E22*(D22-C22)</f>
        <v>0</v>
      </c>
      <c r="G22" s="211">
        <v>10</v>
      </c>
      <c r="H22" s="251">
        <f>H11</f>
        <v>0</v>
      </c>
      <c r="I22" s="239">
        <f>$E$32*H22*(C22-G22)</f>
        <v>0</v>
      </c>
      <c r="J22" s="211">
        <f>'Design Criteria'!$Q$46</f>
        <v>-5</v>
      </c>
      <c r="K22" s="251">
        <f>K11</f>
        <v>27</v>
      </c>
      <c r="L22" s="239">
        <f>$E$27*K22*(C22-J22)</f>
        <v>307.43642309279011</v>
      </c>
      <c r="M22" s="211">
        <f>'Design Criteria'!$Q$46</f>
        <v>-5</v>
      </c>
      <c r="N22" s="251">
        <f>N11</f>
        <v>0</v>
      </c>
      <c r="O22" s="239">
        <f>-$E$29*N22*(M22-C22)</f>
        <v>0</v>
      </c>
      <c r="P22" s="211">
        <f>'Design Criteria'!$Q$46</f>
        <v>-5</v>
      </c>
      <c r="Q22" s="240">
        <f>Q11</f>
        <v>0</v>
      </c>
      <c r="R22" s="239">
        <f>$E$30*Q22*(-P22+C22)</f>
        <v>0</v>
      </c>
      <c r="S22" s="211">
        <v>10</v>
      </c>
      <c r="T22" s="251">
        <f>T11</f>
        <v>63.7</v>
      </c>
      <c r="U22" s="239">
        <f>-$E$28*T22*(S22-C22)</f>
        <v>269.2772727272727</v>
      </c>
      <c r="V22" s="239">
        <v>0</v>
      </c>
      <c r="W22" s="239">
        <v>0</v>
      </c>
      <c r="X22" s="239">
        <v>0</v>
      </c>
      <c r="Y22" s="241">
        <v>1.21</v>
      </c>
      <c r="Z22" s="281">
        <f>(F22+I22+O22+R22+U22+L22+V22+W22+X22)*Y22/1000</f>
        <v>0.69782357194227607</v>
      </c>
      <c r="AA22" s="251">
        <f>(Z22)/(K22*4.9)*1000</f>
        <v>5.2745545876211342</v>
      </c>
      <c r="AB22" s="281">
        <f>Z22</f>
        <v>0.69782357194227607</v>
      </c>
      <c r="AC22" s="251">
        <f>AA22</f>
        <v>5.2745545876211342</v>
      </c>
    </row>
    <row r="23" spans="1:29">
      <c r="A23" s="200"/>
      <c r="B23" s="200"/>
      <c r="C23" s="200"/>
      <c r="D23" s="200"/>
      <c r="E23" s="201"/>
      <c r="F23" s="202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</row>
    <row r="24" spans="1:29">
      <c r="A24" s="200"/>
      <c r="B24" s="200"/>
      <c r="C24" s="200"/>
      <c r="D24" s="248" t="s">
        <v>370</v>
      </c>
      <c r="E24" s="249">
        <v>0.25</v>
      </c>
      <c r="F24" s="202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</row>
    <row r="25" spans="1:29">
      <c r="A25" s="203"/>
      <c r="B25" s="203"/>
      <c r="C25" s="203"/>
      <c r="D25" s="204" t="s">
        <v>205</v>
      </c>
      <c r="E25" s="205" t="s">
        <v>206</v>
      </c>
      <c r="F25" s="202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</row>
    <row r="26" spans="1:29">
      <c r="A26" s="206" t="s">
        <v>207</v>
      </c>
      <c r="B26" s="206"/>
      <c r="C26" s="194"/>
      <c r="D26" s="331">
        <f>SUM(F35:F38)^-1</f>
        <v>0.29621550214638415</v>
      </c>
      <c r="E26" s="238">
        <f>D26*(1+$E$24)</f>
        <v>0.37026937768298018</v>
      </c>
    </row>
    <row r="27" spans="1:29">
      <c r="A27" s="206" t="s">
        <v>208</v>
      </c>
      <c r="B27" s="206"/>
      <c r="C27" s="194"/>
      <c r="D27" s="331">
        <f>SUM(F41:F44)^-1</f>
        <v>0.33737879077398086</v>
      </c>
      <c r="E27" s="238">
        <f t="shared" ref="E27:E31" si="18">D27*(1+$E$24)</f>
        <v>0.42172348846747609</v>
      </c>
    </row>
    <row r="28" spans="1:29">
      <c r="A28" s="206" t="s">
        <v>250</v>
      </c>
      <c r="B28" s="206"/>
      <c r="C28" s="194"/>
      <c r="D28" s="331">
        <f>SUM(F47:F49)^-1</f>
        <v>0.2818181818181818</v>
      </c>
      <c r="E28" s="238">
        <f t="shared" si="18"/>
        <v>0.35227272727272724</v>
      </c>
    </row>
    <row r="29" spans="1:29">
      <c r="A29" s="206" t="s">
        <v>209</v>
      </c>
      <c r="B29" s="206"/>
      <c r="C29" s="194"/>
      <c r="D29" s="331">
        <f>SUM(F52:F54)^-1</f>
        <v>0.19415099433096375</v>
      </c>
      <c r="E29" s="238">
        <f t="shared" si="18"/>
        <v>0.24268874291370468</v>
      </c>
    </row>
    <row r="30" spans="1:29">
      <c r="A30" s="206" t="s">
        <v>251</v>
      </c>
      <c r="B30" s="206"/>
      <c r="C30" s="194"/>
      <c r="D30" s="332">
        <v>2</v>
      </c>
      <c r="E30" s="238">
        <f t="shared" si="18"/>
        <v>2.5</v>
      </c>
    </row>
    <row r="31" spans="1:29">
      <c r="A31" s="206" t="s">
        <v>252</v>
      </c>
      <c r="B31" s="206"/>
      <c r="C31" s="194"/>
      <c r="D31" s="331">
        <f>SUM(F57:F60)^-1</f>
        <v>0.61661696592855786</v>
      </c>
      <c r="E31" s="238">
        <f t="shared" si="18"/>
        <v>0.77077120741069738</v>
      </c>
    </row>
    <row r="32" spans="1:29">
      <c r="A32" s="206" t="s">
        <v>354</v>
      </c>
      <c r="B32" s="206"/>
      <c r="C32" s="194"/>
      <c r="D32" s="331">
        <f>SUM(F63:F65)^-1</f>
        <v>2.0911242603550297</v>
      </c>
      <c r="E32" s="238">
        <f t="shared" ref="E32" si="19">D32*(1+$E$24)</f>
        <v>2.6139053254437874</v>
      </c>
    </row>
    <row r="34" spans="1:18">
      <c r="A34" s="207" t="s">
        <v>253</v>
      </c>
      <c r="B34" s="207"/>
      <c r="C34" s="203" t="s">
        <v>210</v>
      </c>
      <c r="D34" s="203" t="s">
        <v>211</v>
      </c>
      <c r="E34" s="203" t="s">
        <v>212</v>
      </c>
      <c r="F34" s="208" t="s">
        <v>213</v>
      </c>
      <c r="G34" s="206"/>
      <c r="H34" s="203" t="s">
        <v>214</v>
      </c>
      <c r="I34" s="203" t="s">
        <v>215</v>
      </c>
      <c r="P34" s="200"/>
      <c r="Q34" s="200"/>
      <c r="R34" s="200"/>
    </row>
    <row r="35" spans="1:18" ht="16.8">
      <c r="A35" s="209" t="s">
        <v>216</v>
      </c>
      <c r="B35" s="209"/>
      <c r="C35" s="203"/>
      <c r="D35" s="203"/>
      <c r="E35" s="194">
        <v>9.3000000000000007</v>
      </c>
      <c r="F35" s="250">
        <f>1/E35</f>
        <v>0.1075268817204301</v>
      </c>
      <c r="G35" s="206"/>
      <c r="H35" s="196"/>
      <c r="I35" s="210"/>
      <c r="P35" s="200"/>
      <c r="Q35" s="200"/>
      <c r="R35" s="200"/>
    </row>
    <row r="36" spans="1:18">
      <c r="A36" s="206" t="s">
        <v>254</v>
      </c>
      <c r="B36" s="206"/>
      <c r="C36" s="278">
        <v>0.2</v>
      </c>
      <c r="D36" s="203">
        <v>3</v>
      </c>
      <c r="E36" s="251">
        <f>C36/(D36/1000)</f>
        <v>66.666666666666671</v>
      </c>
      <c r="F36" s="250">
        <f>1/E36</f>
        <v>1.4999999999999999E-2</v>
      </c>
      <c r="G36" s="206"/>
      <c r="H36" s="196"/>
      <c r="I36" s="210">
        <v>20</v>
      </c>
      <c r="P36" s="200"/>
      <c r="Q36" s="200"/>
      <c r="R36" s="200"/>
    </row>
    <row r="37" spans="1:18">
      <c r="A37" s="206" t="s">
        <v>219</v>
      </c>
      <c r="B37" s="206"/>
      <c r="C37" s="278">
        <v>0.85</v>
      </c>
      <c r="D37" s="203">
        <v>150</v>
      </c>
      <c r="E37" s="251">
        <f>C37/(D37/1000)</f>
        <v>5.666666666666667</v>
      </c>
      <c r="F37" s="250">
        <f>1/E37</f>
        <v>0.1764705882352941</v>
      </c>
      <c r="G37" s="206"/>
      <c r="H37" s="210">
        <v>2400</v>
      </c>
      <c r="I37" s="239">
        <f>H37*D37/1000</f>
        <v>360</v>
      </c>
      <c r="P37" s="200"/>
      <c r="Q37" s="200"/>
      <c r="R37" s="200"/>
    </row>
    <row r="38" spans="1:18">
      <c r="A38" s="206" t="s">
        <v>325</v>
      </c>
      <c r="B38" s="206"/>
      <c r="C38" s="278">
        <v>2.5999999999999999E-2</v>
      </c>
      <c r="D38" s="203">
        <v>80</v>
      </c>
      <c r="E38" s="251">
        <f>C38/(D38/1000)</f>
        <v>0.32499999999999996</v>
      </c>
      <c r="F38" s="250">
        <f>1/E38</f>
        <v>3.0769230769230775</v>
      </c>
      <c r="G38" s="206"/>
      <c r="H38" s="210"/>
      <c r="I38" s="239"/>
      <c r="P38" s="200"/>
      <c r="Q38" s="200"/>
      <c r="R38" s="200"/>
    </row>
    <row r="39" spans="1:18">
      <c r="C39" s="279"/>
      <c r="D39" s="200"/>
      <c r="E39" s="200"/>
      <c r="F39" s="200"/>
      <c r="G39" s="206"/>
      <c r="H39" s="210"/>
      <c r="I39" s="210"/>
      <c r="P39" s="200"/>
      <c r="Q39" s="200"/>
      <c r="R39" s="200"/>
    </row>
    <row r="40" spans="1:18">
      <c r="A40" s="207" t="s">
        <v>218</v>
      </c>
      <c r="B40" s="207"/>
      <c r="C40" s="278"/>
      <c r="D40" s="203"/>
      <c r="E40" s="203"/>
      <c r="F40" s="208"/>
      <c r="G40" s="206"/>
      <c r="H40" s="210"/>
      <c r="I40" s="210"/>
      <c r="P40" s="200"/>
      <c r="Q40" s="200"/>
      <c r="R40" s="200"/>
    </row>
    <row r="41" spans="1:18" ht="16.8">
      <c r="A41" s="209" t="s">
        <v>217</v>
      </c>
      <c r="B41" s="209"/>
      <c r="C41" s="278"/>
      <c r="D41" s="203"/>
      <c r="E41" s="194">
        <v>23.2</v>
      </c>
      <c r="F41" s="250">
        <f>1/E41</f>
        <v>4.3103448275862072E-2</v>
      </c>
      <c r="G41" s="206"/>
      <c r="H41" s="196"/>
      <c r="I41" s="210"/>
      <c r="P41" s="200"/>
      <c r="Q41" s="200"/>
      <c r="R41" s="200"/>
    </row>
    <row r="42" spans="1:18" ht="16.2">
      <c r="A42" s="206" t="s">
        <v>321</v>
      </c>
      <c r="B42" s="209"/>
      <c r="C42" s="333">
        <v>1.1000000000000001</v>
      </c>
      <c r="D42" s="203">
        <v>200</v>
      </c>
      <c r="E42" s="251">
        <f>C42/(D42/1000)</f>
        <v>5.5</v>
      </c>
      <c r="F42" s="250">
        <f t="shared" ref="F42:F43" si="20">1/E42</f>
        <v>0.18181818181818182</v>
      </c>
      <c r="G42" s="206"/>
      <c r="H42" s="210">
        <v>2400</v>
      </c>
      <c r="I42" s="239">
        <f>H42*D42/1000</f>
        <v>480</v>
      </c>
      <c r="P42" s="200"/>
      <c r="Q42" s="200"/>
      <c r="R42" s="200"/>
    </row>
    <row r="43" spans="1:18">
      <c r="A43" s="206" t="s">
        <v>345</v>
      </c>
      <c r="B43" s="206"/>
      <c r="C43" s="278">
        <v>3.7999999999999999E-2</v>
      </c>
      <c r="D43" s="203">
        <v>100</v>
      </c>
      <c r="E43" s="251">
        <f>C43/(D43/1000)</f>
        <v>0.37999999999999995</v>
      </c>
      <c r="F43" s="250">
        <f t="shared" si="20"/>
        <v>2.6315789473684212</v>
      </c>
      <c r="G43" s="206"/>
      <c r="H43" s="210">
        <v>150</v>
      </c>
      <c r="I43" s="239">
        <f>H43*D43/1000</f>
        <v>15</v>
      </c>
      <c r="P43" s="200"/>
      <c r="Q43" s="200"/>
      <c r="R43" s="200"/>
    </row>
    <row r="44" spans="1:18" ht="16.8">
      <c r="A44" s="209" t="s">
        <v>216</v>
      </c>
      <c r="B44" s="209"/>
      <c r="C44" s="203"/>
      <c r="D44" s="203"/>
      <c r="E44" s="194">
        <v>9.3000000000000007</v>
      </c>
      <c r="F44" s="250">
        <f>1/E44</f>
        <v>0.1075268817204301</v>
      </c>
      <c r="G44" s="206"/>
      <c r="H44" s="196"/>
      <c r="I44" s="210"/>
      <c r="P44" s="200"/>
      <c r="Q44" s="200"/>
      <c r="R44" s="200"/>
    </row>
    <row r="45" spans="1:18">
      <c r="F45" s="200"/>
      <c r="G45" s="206"/>
      <c r="H45" s="210"/>
      <c r="I45" s="239">
        <f>SUM(I41:I44)</f>
        <v>495</v>
      </c>
      <c r="P45" s="201"/>
      <c r="Q45" s="201"/>
      <c r="R45" s="201"/>
    </row>
    <row r="46" spans="1:18">
      <c r="A46" s="207" t="s">
        <v>255</v>
      </c>
      <c r="B46" s="207"/>
      <c r="C46" s="203"/>
      <c r="D46" s="203"/>
      <c r="E46" s="196"/>
      <c r="F46" s="208"/>
      <c r="G46" s="206"/>
      <c r="H46" s="210"/>
      <c r="I46" s="210"/>
      <c r="P46" s="200"/>
      <c r="Q46" s="200"/>
      <c r="R46" s="200"/>
    </row>
    <row r="47" spans="1:18" ht="16.8">
      <c r="A47" s="209" t="s">
        <v>216</v>
      </c>
      <c r="B47" s="209"/>
      <c r="C47" s="203"/>
      <c r="D47" s="203"/>
      <c r="E47" s="203">
        <v>9.3000000000000007</v>
      </c>
      <c r="F47" s="250">
        <f>1/E47</f>
        <v>0.1075268817204301</v>
      </c>
      <c r="G47" s="206"/>
      <c r="H47" s="196"/>
      <c r="I47" s="210"/>
      <c r="P47" s="200"/>
      <c r="Q47" s="200"/>
      <c r="R47" s="200"/>
    </row>
    <row r="48" spans="1:18">
      <c r="A48" s="206" t="s">
        <v>222</v>
      </c>
      <c r="B48" s="206"/>
      <c r="C48" s="203">
        <v>4.4999999999999998E-2</v>
      </c>
      <c r="D48" s="203">
        <v>150</v>
      </c>
      <c r="E48" s="251">
        <f>C48/(D48/1000)</f>
        <v>0.3</v>
      </c>
      <c r="F48" s="250">
        <f>1/E48</f>
        <v>3.3333333333333335</v>
      </c>
      <c r="G48" s="206"/>
      <c r="H48" s="210">
        <v>135</v>
      </c>
      <c r="I48" s="239">
        <f>H48*D48/1000</f>
        <v>20.25</v>
      </c>
      <c r="P48" s="200"/>
      <c r="Q48" s="200"/>
      <c r="R48" s="200"/>
    </row>
    <row r="49" spans="1:18" ht="16.8">
      <c r="A49" s="209" t="s">
        <v>216</v>
      </c>
      <c r="B49" s="209"/>
      <c r="C49" s="203"/>
      <c r="D49" s="203"/>
      <c r="E49" s="203">
        <v>9.3000000000000007</v>
      </c>
      <c r="F49" s="250">
        <f>1/E49</f>
        <v>0.1075268817204301</v>
      </c>
      <c r="G49" s="206"/>
      <c r="H49" s="196"/>
      <c r="I49" s="210"/>
      <c r="P49" s="200"/>
      <c r="Q49" s="200"/>
      <c r="R49" s="200"/>
    </row>
    <row r="50" spans="1:18">
      <c r="G50" s="206"/>
      <c r="H50" s="210"/>
      <c r="I50" s="239">
        <f>SUM(I47:I49)</f>
        <v>20.25</v>
      </c>
      <c r="P50" s="201"/>
      <c r="Q50" s="201"/>
      <c r="R50" s="201"/>
    </row>
    <row r="51" spans="1:18">
      <c r="A51" s="207" t="s">
        <v>221</v>
      </c>
      <c r="B51" s="207"/>
      <c r="C51" s="203"/>
      <c r="D51" s="203"/>
      <c r="E51" s="196"/>
      <c r="F51" s="208"/>
      <c r="G51" s="206"/>
      <c r="H51" s="210"/>
      <c r="I51" s="210"/>
      <c r="P51" s="200"/>
      <c r="Q51" s="200"/>
      <c r="R51" s="200"/>
    </row>
    <row r="52" spans="1:18" ht="16.8">
      <c r="A52" s="209" t="s">
        <v>217</v>
      </c>
      <c r="B52" s="209"/>
      <c r="C52" s="203"/>
      <c r="D52" s="203"/>
      <c r="E52" s="333">
        <v>23.2</v>
      </c>
      <c r="F52" s="250">
        <f>1/E52</f>
        <v>4.3103448275862072E-2</v>
      </c>
      <c r="G52" s="206"/>
      <c r="H52" s="196"/>
      <c r="I52" s="210"/>
      <c r="P52" s="200"/>
      <c r="Q52" s="200"/>
      <c r="R52" s="200"/>
    </row>
    <row r="53" spans="1:18">
      <c r="A53" s="206" t="s">
        <v>343</v>
      </c>
      <c r="B53" s="206"/>
      <c r="C53" s="278">
        <v>0.06</v>
      </c>
      <c r="D53" s="203">
        <v>300</v>
      </c>
      <c r="E53" s="240">
        <f>C53/(D53/1000)</f>
        <v>0.2</v>
      </c>
      <c r="F53" s="250">
        <f>1/E53</f>
        <v>5</v>
      </c>
      <c r="G53" s="206"/>
      <c r="H53" s="210">
        <v>1000</v>
      </c>
      <c r="I53" s="239">
        <f>H53*D53/1000</f>
        <v>300</v>
      </c>
      <c r="P53" s="200"/>
      <c r="Q53" s="200"/>
      <c r="R53" s="200"/>
    </row>
    <row r="54" spans="1:18" ht="16.8">
      <c r="A54" s="209" t="s">
        <v>216</v>
      </c>
      <c r="B54" s="209"/>
      <c r="C54" s="203"/>
      <c r="D54" s="203"/>
      <c r="E54" s="333">
        <v>9.3000000000000007</v>
      </c>
      <c r="F54" s="250">
        <f>1/E54</f>
        <v>0.1075268817204301</v>
      </c>
      <c r="G54" s="206"/>
      <c r="H54" s="196"/>
      <c r="I54" s="210"/>
      <c r="P54" s="200"/>
      <c r="Q54" s="200"/>
      <c r="R54" s="200"/>
    </row>
    <row r="55" spans="1:18">
      <c r="G55" s="206"/>
      <c r="H55" s="210"/>
      <c r="I55" s="239">
        <f>SUM(I52:I54)</f>
        <v>300</v>
      </c>
      <c r="P55" s="201"/>
      <c r="Q55" s="201"/>
      <c r="R55" s="201"/>
    </row>
    <row r="56" spans="1:18">
      <c r="A56" s="207" t="s">
        <v>223</v>
      </c>
      <c r="B56" s="207"/>
      <c r="C56" s="203"/>
      <c r="D56" s="203"/>
      <c r="E56" s="196"/>
      <c r="F56" s="208"/>
      <c r="G56" s="206"/>
      <c r="H56" s="210"/>
      <c r="I56" s="210"/>
      <c r="P56" s="200"/>
      <c r="Q56" s="200"/>
      <c r="R56" s="200"/>
    </row>
    <row r="57" spans="1:18" ht="16.8">
      <c r="A57" s="209" t="s">
        <v>216</v>
      </c>
      <c r="B57" s="209"/>
      <c r="C57" s="203"/>
      <c r="D57" s="203"/>
      <c r="E57" s="333">
        <v>9.3000000000000007</v>
      </c>
      <c r="F57" s="250">
        <f>1/E57</f>
        <v>0.1075268817204301</v>
      </c>
      <c r="G57" s="206"/>
      <c r="H57" s="210"/>
      <c r="I57" s="210"/>
      <c r="P57" s="200"/>
      <c r="Q57" s="200"/>
      <c r="R57" s="200"/>
    </row>
    <row r="58" spans="1:18" ht="16.2">
      <c r="A58" s="206" t="s">
        <v>321</v>
      </c>
      <c r="B58" s="209"/>
      <c r="C58" s="333">
        <v>1.1000000000000001</v>
      </c>
      <c r="D58" s="203">
        <v>100</v>
      </c>
      <c r="E58" s="240">
        <f>C58/(D58/1000)</f>
        <v>11</v>
      </c>
      <c r="F58" s="250">
        <f t="shared" ref="F58:F59" si="21">1/E58</f>
        <v>9.0909090909090912E-2</v>
      </c>
      <c r="G58" s="206"/>
      <c r="H58" s="210">
        <v>2400</v>
      </c>
      <c r="I58" s="239">
        <f>H58*D58/1000</f>
        <v>240</v>
      </c>
      <c r="P58" s="200"/>
      <c r="Q58" s="200"/>
      <c r="R58" s="200"/>
    </row>
    <row r="59" spans="1:18">
      <c r="A59" s="206" t="s">
        <v>345</v>
      </c>
      <c r="B59" s="206"/>
      <c r="C59" s="278">
        <v>3.7999999999999999E-2</v>
      </c>
      <c r="D59" s="203">
        <v>50</v>
      </c>
      <c r="E59" s="251">
        <f>C59/(D59/1000)</f>
        <v>0.7599999999999999</v>
      </c>
      <c r="F59" s="250">
        <f t="shared" si="21"/>
        <v>1.3157894736842106</v>
      </c>
      <c r="G59" s="206"/>
      <c r="H59" s="210">
        <v>150</v>
      </c>
      <c r="I59" s="239">
        <f>H59*D59/1000</f>
        <v>7.5</v>
      </c>
      <c r="P59" s="200"/>
      <c r="Q59" s="200"/>
      <c r="R59" s="200"/>
    </row>
    <row r="60" spans="1:18" ht="16.8">
      <c r="A60" s="209" t="s">
        <v>216</v>
      </c>
      <c r="B60" s="209"/>
      <c r="C60" s="203"/>
      <c r="D60" s="203"/>
      <c r="E60" s="333">
        <v>9.3000000000000007</v>
      </c>
      <c r="F60" s="250">
        <f>1/E60</f>
        <v>0.1075268817204301</v>
      </c>
      <c r="G60" s="206"/>
      <c r="H60" s="210"/>
      <c r="I60" s="210"/>
      <c r="P60" s="200"/>
      <c r="Q60" s="200"/>
      <c r="R60" s="200"/>
    </row>
    <row r="61" spans="1:18">
      <c r="G61" s="206"/>
      <c r="H61" s="210"/>
      <c r="I61" s="239">
        <f>SUM(I58:I60)</f>
        <v>247.5</v>
      </c>
      <c r="P61" s="201"/>
      <c r="Q61" s="201"/>
      <c r="R61" s="201"/>
    </row>
    <row r="62" spans="1:18">
      <c r="A62" s="207" t="s">
        <v>352</v>
      </c>
      <c r="B62" s="207"/>
      <c r="C62" s="203"/>
      <c r="D62" s="203"/>
      <c r="E62" s="196"/>
      <c r="F62" s="208"/>
      <c r="G62" s="206"/>
      <c r="H62" s="210"/>
      <c r="I62" s="210"/>
      <c r="P62" s="200"/>
      <c r="Q62" s="200"/>
      <c r="R62" s="200"/>
    </row>
    <row r="63" spans="1:18" ht="16.8">
      <c r="A63" s="209" t="s">
        <v>216</v>
      </c>
      <c r="B63" s="209"/>
      <c r="C63" s="203"/>
      <c r="D63" s="203"/>
      <c r="E63" s="333">
        <v>9.3000000000000007</v>
      </c>
      <c r="F63" s="250">
        <f>1/E63</f>
        <v>0.1075268817204301</v>
      </c>
      <c r="G63" s="206"/>
      <c r="H63" s="210"/>
      <c r="I63" s="210"/>
      <c r="P63" s="200"/>
      <c r="Q63" s="200"/>
      <c r="R63" s="200"/>
    </row>
    <row r="64" spans="1:18">
      <c r="A64" s="206" t="s">
        <v>353</v>
      </c>
      <c r="B64" s="206"/>
      <c r="C64" s="278">
        <v>5.7000000000000002E-2</v>
      </c>
      <c r="D64" s="203">
        <v>15</v>
      </c>
      <c r="E64" s="251">
        <f>C64/(D64/1000)</f>
        <v>3.8000000000000003</v>
      </c>
      <c r="F64" s="250">
        <f t="shared" ref="F64" si="22">1/E64</f>
        <v>0.26315789473684209</v>
      </c>
      <c r="G64" s="206"/>
      <c r="H64" s="210">
        <v>250</v>
      </c>
      <c r="I64" s="281">
        <f>H64*D64/1000</f>
        <v>3.75</v>
      </c>
      <c r="P64" s="200"/>
      <c r="Q64" s="200"/>
      <c r="R64" s="200"/>
    </row>
    <row r="65" spans="1:18" ht="16.8">
      <c r="A65" s="209" t="s">
        <v>216</v>
      </c>
      <c r="B65" s="209"/>
      <c r="C65" s="203"/>
      <c r="D65" s="203"/>
      <c r="E65" s="333">
        <v>9.3000000000000007</v>
      </c>
      <c r="F65" s="250">
        <f>1/E65</f>
        <v>0.1075268817204301</v>
      </c>
      <c r="G65" s="206"/>
      <c r="H65" s="210"/>
      <c r="I65" s="210"/>
      <c r="P65" s="200"/>
      <c r="Q65" s="200"/>
      <c r="R65" s="200"/>
    </row>
    <row r="67" spans="1:18">
      <c r="A67" s="212" t="s">
        <v>224</v>
      </c>
      <c r="B67" s="212"/>
      <c r="C67" s="252" t="s">
        <v>225</v>
      </c>
      <c r="D67" s="252" t="s">
        <v>226</v>
      </c>
      <c r="E67" s="252" t="s">
        <v>227</v>
      </c>
      <c r="F67" s="252" t="s">
        <v>256</v>
      </c>
      <c r="G67" s="252"/>
      <c r="H67" s="252" t="s">
        <v>257</v>
      </c>
      <c r="I67" s="252" t="s">
        <v>258</v>
      </c>
      <c r="J67" s="252"/>
      <c r="K67" s="252" t="s">
        <v>259</v>
      </c>
      <c r="L67" s="252" t="s">
        <v>260</v>
      </c>
      <c r="M67" s="252" t="s">
        <v>37</v>
      </c>
      <c r="N67" s="253" t="s">
        <v>30</v>
      </c>
      <c r="O67" s="253" t="s">
        <v>261</v>
      </c>
    </row>
    <row r="68" spans="1:18" ht="13.2" customHeight="1">
      <c r="A68" s="340" t="str">
        <f>A5</f>
        <v>HANDLING AREA</v>
      </c>
      <c r="B68" s="206" t="s">
        <v>220</v>
      </c>
      <c r="C68" s="254"/>
      <c r="D68" s="254"/>
      <c r="E68" s="262">
        <f>Q5-1.44</f>
        <v>9</v>
      </c>
      <c r="F68" s="256">
        <f>360/860*1000</f>
        <v>418.60465116279073</v>
      </c>
      <c r="G68" s="254"/>
      <c r="H68" s="257">
        <f>1+17%-5%</f>
        <v>1.1199999999999999</v>
      </c>
      <c r="I68" s="258">
        <v>0.48</v>
      </c>
      <c r="J68" s="254"/>
      <c r="K68" s="258">
        <v>0.8</v>
      </c>
      <c r="L68" s="256">
        <f>F68*H68*I68*K68</f>
        <v>180.03348837209302</v>
      </c>
      <c r="M68" s="254">
        <f>L68*E68</f>
        <v>1620.3013953488371</v>
      </c>
      <c r="N68" s="705" t="s">
        <v>344</v>
      </c>
      <c r="O68" s="706"/>
    </row>
    <row r="69" spans="1:18" ht="13.2" customHeight="1">
      <c r="A69" s="340"/>
      <c r="B69" s="206" t="s">
        <v>295</v>
      </c>
      <c r="C69" s="254"/>
      <c r="D69" s="254"/>
      <c r="E69" s="262">
        <v>1.44</v>
      </c>
      <c r="F69" s="256">
        <f>360/860*1000</f>
        <v>418.60465116279073</v>
      </c>
      <c r="G69" s="254"/>
      <c r="H69" s="257">
        <f t="shared" ref="H69:H71" si="23">1+17%-5%</f>
        <v>1.1199999999999999</v>
      </c>
      <c r="I69" s="258">
        <v>0.48</v>
      </c>
      <c r="J69" s="254"/>
      <c r="K69" s="258">
        <v>0.11</v>
      </c>
      <c r="L69" s="256">
        <f t="shared" ref="L69" si="24">F69*H69*I69*K69</f>
        <v>24.75460465116279</v>
      </c>
      <c r="M69" s="254">
        <f t="shared" ref="M69" si="25">L69*E69</f>
        <v>35.646630697674418</v>
      </c>
      <c r="N69" s="705"/>
      <c r="O69" s="706"/>
    </row>
    <row r="70" spans="1:18">
      <c r="A70" s="340" t="str">
        <f>A6</f>
        <v>AIRLOCK VT</v>
      </c>
      <c r="B70" s="206"/>
      <c r="C70" s="254"/>
      <c r="D70" s="254"/>
      <c r="E70" s="255"/>
      <c r="F70" s="256"/>
      <c r="G70" s="254"/>
      <c r="H70" s="257"/>
      <c r="I70" s="258"/>
      <c r="J70" s="254"/>
      <c r="K70" s="258"/>
      <c r="L70" s="256"/>
      <c r="M70" s="254"/>
      <c r="N70" s="705"/>
      <c r="O70" s="706"/>
    </row>
    <row r="71" spans="1:18">
      <c r="A71" s="340" t="str">
        <f>A7</f>
        <v>CORRIDOR</v>
      </c>
      <c r="B71" s="206" t="s">
        <v>295</v>
      </c>
      <c r="C71" s="254"/>
      <c r="D71" s="254"/>
      <c r="E71" s="262">
        <f>Q7</f>
        <v>1.44</v>
      </c>
      <c r="F71" s="256">
        <f>360/860*1000</f>
        <v>418.60465116279073</v>
      </c>
      <c r="G71" s="254"/>
      <c r="H71" s="257">
        <f t="shared" si="23"/>
        <v>1.1199999999999999</v>
      </c>
      <c r="I71" s="258">
        <v>0.48</v>
      </c>
      <c r="J71" s="254"/>
      <c r="K71" s="258">
        <v>0.8</v>
      </c>
      <c r="L71" s="256">
        <f t="shared" ref="L71" si="26">F71*H71*I71*K71</f>
        <v>180.03348837209302</v>
      </c>
      <c r="M71" s="254">
        <f t="shared" ref="M71" si="27">L71*E71</f>
        <v>259.24822325581391</v>
      </c>
      <c r="N71" s="705"/>
      <c r="O71" s="706"/>
    </row>
    <row r="72" spans="1:18">
      <c r="A72" s="206"/>
      <c r="B72" s="206"/>
      <c r="C72" s="254"/>
      <c r="D72" s="254"/>
      <c r="E72" s="255"/>
      <c r="F72" s="256"/>
      <c r="G72" s="254"/>
      <c r="H72" s="257"/>
      <c r="I72" s="258"/>
      <c r="J72" s="254"/>
      <c r="K72" s="258"/>
      <c r="L72" s="256"/>
      <c r="M72" s="254"/>
      <c r="N72" s="705"/>
      <c r="O72" s="706"/>
    </row>
    <row r="73" spans="1:18">
      <c r="A73" s="206"/>
      <c r="B73" s="206"/>
      <c r="C73" s="254"/>
      <c r="D73" s="254"/>
      <c r="E73" s="255"/>
      <c r="F73" s="256"/>
      <c r="G73" s="254"/>
      <c r="H73" s="257"/>
      <c r="I73" s="258"/>
      <c r="J73" s="254"/>
      <c r="K73" s="258"/>
      <c r="L73" s="256"/>
      <c r="M73" s="254"/>
      <c r="N73" s="705"/>
      <c r="O73" s="706"/>
    </row>
    <row r="74" spans="1:18">
      <c r="I74" s="213"/>
      <c r="K74" s="213"/>
      <c r="L74" s="213"/>
      <c r="N74" s="213"/>
    </row>
    <row r="75" spans="1:18" ht="40.200000000000003">
      <c r="A75" s="259" t="s">
        <v>228</v>
      </c>
      <c r="B75" s="259"/>
      <c r="C75" s="206"/>
      <c r="D75" s="206"/>
      <c r="E75" s="260" t="s">
        <v>227</v>
      </c>
      <c r="F75" s="260" t="s">
        <v>229</v>
      </c>
      <c r="G75" s="261" t="s">
        <v>230</v>
      </c>
      <c r="H75" s="261" t="s">
        <v>231</v>
      </c>
      <c r="I75" s="261" t="s">
        <v>232</v>
      </c>
      <c r="J75" s="260"/>
      <c r="K75" s="261" t="s">
        <v>233</v>
      </c>
      <c r="L75" s="261" t="s">
        <v>234</v>
      </c>
      <c r="M75" s="261" t="s">
        <v>262</v>
      </c>
      <c r="N75" s="261" t="s">
        <v>235</v>
      </c>
      <c r="O75" s="261" t="s">
        <v>236</v>
      </c>
      <c r="P75" s="261" t="s">
        <v>37</v>
      </c>
    </row>
    <row r="76" spans="1:18">
      <c r="A76" s="280" t="str">
        <f>A5</f>
        <v>HANDLING AREA</v>
      </c>
      <c r="B76" s="259"/>
      <c r="C76" s="206"/>
      <c r="D76" s="206"/>
      <c r="E76" s="260"/>
      <c r="F76" s="260"/>
      <c r="G76" s="261"/>
      <c r="H76" s="261"/>
      <c r="I76" s="261"/>
      <c r="J76" s="260"/>
      <c r="K76" s="261"/>
      <c r="L76" s="261"/>
      <c r="M76" s="261"/>
      <c r="N76" s="261"/>
      <c r="O76" s="261"/>
      <c r="P76" s="261"/>
    </row>
    <row r="77" spans="1:18">
      <c r="A77" s="206" t="s">
        <v>264</v>
      </c>
      <c r="B77" s="206"/>
      <c r="C77" s="206"/>
      <c r="D77" s="206"/>
      <c r="E77" s="255">
        <f>K5</f>
        <v>0</v>
      </c>
      <c r="F77" s="254">
        <v>0.8</v>
      </c>
      <c r="G77" s="254">
        <v>12.5</v>
      </c>
      <c r="H77" s="254">
        <v>23.6</v>
      </c>
      <c r="I77" s="254">
        <f>H77</f>
        <v>23.6</v>
      </c>
      <c r="J77" s="254"/>
      <c r="K77" s="263">
        <f>$E$27*E77*I77</f>
        <v>0</v>
      </c>
      <c r="L77" s="264">
        <f>I77+($M$5-$C$5)-(34-26)</f>
        <v>29.6</v>
      </c>
      <c r="M77" s="265">
        <v>10</v>
      </c>
      <c r="N77" s="264">
        <f>(11-M77)*0.5+L77</f>
        <v>30.1</v>
      </c>
      <c r="O77" s="264">
        <f>N77</f>
        <v>30.1</v>
      </c>
      <c r="P77" s="263">
        <f>$E$27*E77*O77</f>
        <v>0</v>
      </c>
    </row>
    <row r="78" spans="1:18">
      <c r="A78" s="206" t="s">
        <v>265</v>
      </c>
      <c r="B78" s="206"/>
      <c r="C78" s="206"/>
      <c r="D78" s="206"/>
      <c r="E78" s="255">
        <f>(23)*5.5+6*5.5</f>
        <v>159.5</v>
      </c>
      <c r="F78" s="254">
        <v>-1.4</v>
      </c>
      <c r="G78" s="265">
        <v>3</v>
      </c>
      <c r="H78" s="254">
        <v>16.399999999999999</v>
      </c>
      <c r="I78" s="254">
        <f t="shared" ref="I78:I81" si="28">H78</f>
        <v>16.399999999999999</v>
      </c>
      <c r="J78" s="254"/>
      <c r="K78" s="263">
        <f>$E$29*E78*I78</f>
        <v>634.82521371366863</v>
      </c>
      <c r="L78" s="264">
        <f>I78+($M$5-$C$5)-(34-26)</f>
        <v>22.4</v>
      </c>
      <c r="M78" s="265">
        <v>10</v>
      </c>
      <c r="N78" s="264">
        <f t="shared" ref="N78:N81" si="29">(11-M78)*0.5+L78</f>
        <v>22.9</v>
      </c>
      <c r="O78" s="264">
        <f t="shared" ref="O78:O81" si="30">N78</f>
        <v>22.9</v>
      </c>
      <c r="P78" s="263">
        <f>$E$29*E78*O78</f>
        <v>886.43276792945198</v>
      </c>
    </row>
    <row r="79" spans="1:18">
      <c r="A79" s="206" t="s">
        <v>277</v>
      </c>
      <c r="B79" s="206"/>
      <c r="C79" s="206"/>
      <c r="D79" s="206"/>
      <c r="E79" s="255">
        <f>(3.5)*5.5+(3.5)*5.5</f>
        <v>38.5</v>
      </c>
      <c r="F79" s="254">
        <v>13.1</v>
      </c>
      <c r="G79" s="254">
        <v>8.1</v>
      </c>
      <c r="H79" s="254">
        <v>7.4</v>
      </c>
      <c r="I79" s="254">
        <f t="shared" si="28"/>
        <v>7.4</v>
      </c>
      <c r="J79" s="254"/>
      <c r="K79" s="263">
        <f t="shared" ref="K79:K81" si="31">$E$29*E79*I79</f>
        <v>69.142022856114465</v>
      </c>
      <c r="L79" s="264">
        <f>I79+($M$5-$C$5)-(34-26)</f>
        <v>13.399999999999999</v>
      </c>
      <c r="M79" s="265">
        <v>10</v>
      </c>
      <c r="N79" s="264">
        <f t="shared" si="29"/>
        <v>13.899999999999999</v>
      </c>
      <c r="O79" s="264">
        <f t="shared" si="30"/>
        <v>13.899999999999999</v>
      </c>
      <c r="P79" s="263">
        <f t="shared" ref="P79:P81" si="32">$E$29*E79*O79</f>
        <v>129.87488077026904</v>
      </c>
    </row>
    <row r="80" spans="1:18">
      <c r="A80" s="206" t="s">
        <v>327</v>
      </c>
      <c r="B80" s="206"/>
      <c r="C80" s="206"/>
      <c r="D80" s="206"/>
      <c r="E80" s="255">
        <v>0</v>
      </c>
      <c r="F80" s="254">
        <v>-0.3</v>
      </c>
      <c r="G80" s="254">
        <v>4.2</v>
      </c>
      <c r="H80" s="254">
        <v>19.7</v>
      </c>
      <c r="I80" s="254">
        <f t="shared" si="28"/>
        <v>19.7</v>
      </c>
      <c r="J80" s="254"/>
      <c r="K80" s="263">
        <f t="shared" si="31"/>
        <v>0</v>
      </c>
      <c r="L80" s="264">
        <f>I80+($M$5-$C$5)-(34-26)</f>
        <v>25.700000000000003</v>
      </c>
      <c r="M80" s="265">
        <v>10</v>
      </c>
      <c r="N80" s="264">
        <f t="shared" si="29"/>
        <v>26.200000000000003</v>
      </c>
      <c r="O80" s="264">
        <f t="shared" si="30"/>
        <v>26.200000000000003</v>
      </c>
      <c r="P80" s="263">
        <f t="shared" si="32"/>
        <v>0</v>
      </c>
    </row>
    <row r="81" spans="1:16">
      <c r="A81" s="206" t="s">
        <v>328</v>
      </c>
      <c r="B81" s="206"/>
      <c r="C81" s="206"/>
      <c r="D81" s="206"/>
      <c r="E81" s="255">
        <v>0</v>
      </c>
      <c r="F81" s="254">
        <v>10.8</v>
      </c>
      <c r="G81" s="254">
        <v>14.1</v>
      </c>
      <c r="H81" s="254">
        <v>7.4</v>
      </c>
      <c r="I81" s="254">
        <f t="shared" si="28"/>
        <v>7.4</v>
      </c>
      <c r="J81" s="254"/>
      <c r="K81" s="263">
        <f t="shared" si="31"/>
        <v>0</v>
      </c>
      <c r="L81" s="264">
        <f>I81+($M$5-$C$5)-(34-26)</f>
        <v>13.399999999999999</v>
      </c>
      <c r="M81" s="265">
        <v>10</v>
      </c>
      <c r="N81" s="264">
        <f t="shared" si="29"/>
        <v>13.899999999999999</v>
      </c>
      <c r="O81" s="264">
        <f t="shared" si="30"/>
        <v>13.899999999999999</v>
      </c>
      <c r="P81" s="263">
        <f t="shared" si="32"/>
        <v>0</v>
      </c>
    </row>
    <row r="82" spans="1:16">
      <c r="A82" s="206" t="s">
        <v>263</v>
      </c>
      <c r="B82" s="206"/>
      <c r="C82" s="206"/>
      <c r="D82" s="206"/>
      <c r="E82" s="256"/>
      <c r="F82" s="256">
        <f>$E$29*$E$78*F78+$E$29*$E$79*F79+$E$27*$E$77*F77+$E$29*$E$80*F80+$E$29*$E$81*F81</f>
        <v>68.207671195896694</v>
      </c>
      <c r="G82" s="256">
        <f>$E$29*$E$78*G78+$E$29*$E$79*G79+$E$27*$E$77*G77+$E$29*$E$80*G80+$E$29*$E$81*G81</f>
        <v>191.80904796184649</v>
      </c>
      <c r="H82" s="256">
        <f>$E$29*$E$78*H78+$E$29*$E$79*H79+$E$27*$E$77*H77+$E$29*$E$80*H80+$E$29*$E$81*H81</f>
        <v>703.96723656978315</v>
      </c>
      <c r="I82" s="254"/>
      <c r="J82" s="254"/>
      <c r="K82" s="256">
        <f>SUM(K77:K81)</f>
        <v>703.96723656978315</v>
      </c>
      <c r="L82" s="265"/>
      <c r="M82" s="265"/>
      <c r="N82" s="254"/>
      <c r="O82" s="265"/>
      <c r="P82" s="256">
        <f>SUM(P77:P81)</f>
        <v>1016.3076486997211</v>
      </c>
    </row>
    <row r="83" spans="1:16">
      <c r="A83" s="206"/>
      <c r="B83" s="206"/>
      <c r="C83" s="206"/>
      <c r="D83" s="206"/>
      <c r="E83" s="256"/>
      <c r="F83" s="256"/>
      <c r="G83" s="256"/>
      <c r="H83" s="256"/>
      <c r="I83" s="254"/>
      <c r="J83" s="254"/>
      <c r="K83" s="256"/>
      <c r="L83" s="265"/>
      <c r="M83" s="265"/>
      <c r="N83" s="254"/>
      <c r="O83" s="265"/>
      <c r="P83" s="256"/>
    </row>
    <row r="84" spans="1:16">
      <c r="A84" s="280" t="str">
        <f>A4</f>
        <v>ENTRANCE</v>
      </c>
      <c r="B84" s="206"/>
      <c r="C84" s="206"/>
      <c r="D84" s="206"/>
      <c r="E84" s="266"/>
      <c r="F84" s="267"/>
      <c r="G84" s="267"/>
      <c r="H84" s="267"/>
      <c r="I84" s="254"/>
      <c r="J84" s="254"/>
      <c r="K84" s="256"/>
      <c r="L84" s="265"/>
      <c r="M84" s="265"/>
      <c r="N84" s="254"/>
      <c r="O84" s="265"/>
      <c r="P84" s="256"/>
    </row>
    <row r="85" spans="1:16">
      <c r="A85" s="206" t="s">
        <v>264</v>
      </c>
      <c r="B85" s="206"/>
      <c r="C85" s="206"/>
      <c r="D85" s="206"/>
      <c r="E85" s="255">
        <f>K4</f>
        <v>0</v>
      </c>
      <c r="F85" s="254">
        <v>0.8</v>
      </c>
      <c r="G85" s="254">
        <v>12.5</v>
      </c>
      <c r="H85" s="254">
        <v>23.6</v>
      </c>
      <c r="I85" s="254">
        <f>F85</f>
        <v>0.8</v>
      </c>
      <c r="J85" s="254"/>
      <c r="K85" s="263">
        <f>$E$27*E85*I85</f>
        <v>0</v>
      </c>
      <c r="L85" s="264">
        <f>I85+($M$4-$C$4)-(34-26)</f>
        <v>6.8000000000000007</v>
      </c>
      <c r="M85" s="265">
        <v>10</v>
      </c>
      <c r="N85" s="264">
        <f>(11-M85)*0.5+L85</f>
        <v>7.3000000000000007</v>
      </c>
      <c r="O85" s="264">
        <f>N85</f>
        <v>7.3000000000000007</v>
      </c>
      <c r="P85" s="263">
        <f>$E$27*E85*O85</f>
        <v>0</v>
      </c>
    </row>
    <row r="86" spans="1:16">
      <c r="A86" s="206" t="s">
        <v>265</v>
      </c>
      <c r="B86" s="206"/>
      <c r="C86" s="206"/>
      <c r="D86" s="206"/>
      <c r="E86" s="255">
        <v>0</v>
      </c>
      <c r="F86" s="254">
        <v>-1.4</v>
      </c>
      <c r="G86" s="265">
        <v>3</v>
      </c>
      <c r="H86" s="254">
        <v>16.399999999999999</v>
      </c>
      <c r="I86" s="254">
        <f t="shared" ref="I86:I89" si="33">F86</f>
        <v>-1.4</v>
      </c>
      <c r="J86" s="254"/>
      <c r="K86" s="263">
        <f>$E$29*E86*I86</f>
        <v>0</v>
      </c>
      <c r="L86" s="264">
        <f t="shared" ref="L86:L89" si="34">I86+($M$4-$C$4)-(34-26)</f>
        <v>4.5999999999999996</v>
      </c>
      <c r="M86" s="265">
        <v>10</v>
      </c>
      <c r="N86" s="264">
        <f t="shared" ref="N86:N89" si="35">(11-M86)*0.5+L86</f>
        <v>5.0999999999999996</v>
      </c>
      <c r="O86" s="264">
        <f t="shared" ref="O86:O89" si="36">N86</f>
        <v>5.0999999999999996</v>
      </c>
      <c r="P86" s="263">
        <f>$E$29*E86*O86</f>
        <v>0</v>
      </c>
    </row>
    <row r="87" spans="1:16">
      <c r="A87" s="206" t="s">
        <v>277</v>
      </c>
      <c r="B87" s="206"/>
      <c r="C87" s="206"/>
      <c r="D87" s="206"/>
      <c r="E87" s="255">
        <f>N4</f>
        <v>8.25</v>
      </c>
      <c r="F87" s="254">
        <v>13.1</v>
      </c>
      <c r="G87" s="254">
        <v>8.1</v>
      </c>
      <c r="H87" s="254">
        <v>7.4</v>
      </c>
      <c r="I87" s="254">
        <f t="shared" si="33"/>
        <v>13.1</v>
      </c>
      <c r="J87" s="254"/>
      <c r="K87" s="263">
        <f t="shared" ref="K87:K89" si="37">$E$29*E87*I87</f>
        <v>26.228585890398634</v>
      </c>
      <c r="L87" s="264">
        <f t="shared" si="34"/>
        <v>19.100000000000001</v>
      </c>
      <c r="M87" s="265">
        <v>10</v>
      </c>
      <c r="N87" s="264">
        <f t="shared" si="35"/>
        <v>19.600000000000001</v>
      </c>
      <c r="O87" s="264">
        <f t="shared" si="36"/>
        <v>19.600000000000001</v>
      </c>
      <c r="P87" s="263">
        <f t="shared" ref="P87:P89" si="38">$E$29*E87*O87</f>
        <v>39.242769729146055</v>
      </c>
    </row>
    <row r="88" spans="1:16">
      <c r="A88" s="206" t="s">
        <v>327</v>
      </c>
      <c r="B88" s="206"/>
      <c r="C88" s="206"/>
      <c r="D88" s="206"/>
      <c r="E88" s="255">
        <v>0</v>
      </c>
      <c r="F88" s="254">
        <v>-0.3</v>
      </c>
      <c r="G88" s="254">
        <v>4.2</v>
      </c>
      <c r="H88" s="254">
        <v>19.7</v>
      </c>
      <c r="I88" s="254">
        <f t="shared" si="33"/>
        <v>-0.3</v>
      </c>
      <c r="J88" s="254"/>
      <c r="K88" s="263">
        <f t="shared" si="37"/>
        <v>0</v>
      </c>
      <c r="L88" s="264">
        <f t="shared" si="34"/>
        <v>5.6999999999999993</v>
      </c>
      <c r="M88" s="265">
        <v>10</v>
      </c>
      <c r="N88" s="264">
        <f t="shared" si="35"/>
        <v>6.1999999999999993</v>
      </c>
      <c r="O88" s="264">
        <f t="shared" si="36"/>
        <v>6.1999999999999993</v>
      </c>
      <c r="P88" s="263">
        <f t="shared" si="38"/>
        <v>0</v>
      </c>
    </row>
    <row r="89" spans="1:16">
      <c r="A89" s="206" t="s">
        <v>328</v>
      </c>
      <c r="B89" s="206"/>
      <c r="C89" s="206"/>
      <c r="D89" s="206"/>
      <c r="E89" s="255">
        <v>0</v>
      </c>
      <c r="F89" s="254">
        <v>10.8</v>
      </c>
      <c r="G89" s="254">
        <v>14.1</v>
      </c>
      <c r="H89" s="254">
        <v>7.4</v>
      </c>
      <c r="I89" s="254">
        <f t="shared" si="33"/>
        <v>10.8</v>
      </c>
      <c r="J89" s="254"/>
      <c r="K89" s="263">
        <f t="shared" si="37"/>
        <v>0</v>
      </c>
      <c r="L89" s="264">
        <f t="shared" si="34"/>
        <v>16.8</v>
      </c>
      <c r="M89" s="265">
        <v>10</v>
      </c>
      <c r="N89" s="264">
        <f t="shared" si="35"/>
        <v>17.3</v>
      </c>
      <c r="O89" s="264">
        <f t="shared" si="36"/>
        <v>17.3</v>
      </c>
      <c r="P89" s="263">
        <f t="shared" si="38"/>
        <v>0</v>
      </c>
    </row>
    <row r="90" spans="1:16">
      <c r="A90" s="206" t="s">
        <v>263</v>
      </c>
      <c r="B90" s="206"/>
      <c r="C90" s="206"/>
      <c r="D90" s="206"/>
      <c r="E90" s="256"/>
      <c r="F90" s="256">
        <f>$E$29*$E$86*F86+$E$29*$E$87*F87+$E$27*$E$85*F85+$E$29*$E$88*F88+$E$29*$E$89*F89</f>
        <v>26.228585890398634</v>
      </c>
      <c r="G90" s="256">
        <f>$E$29*$E$86*G86+$E$29*$E$87*G87+$E$27*$E$85*G85+$E$29*$E$88*G88+$E$29*$E$89*G89</f>
        <v>16.217675245208316</v>
      </c>
      <c r="H90" s="256">
        <f>$E$29*$E$86*H86+$E$29*$E$87*H87+$E$27*$E$85*H85+$E$29*$E$88*H88+$E$29*$E$89*H89</f>
        <v>14.816147754881673</v>
      </c>
      <c r="I90" s="254"/>
      <c r="J90" s="254"/>
      <c r="K90" s="256">
        <f>SUM(K85:K89)</f>
        <v>26.228585890398634</v>
      </c>
      <c r="L90" s="265"/>
      <c r="M90" s="265"/>
      <c r="N90" s="254"/>
      <c r="O90" s="265"/>
      <c r="P90" s="256">
        <f>SUM(P85:P89)</f>
        <v>39.242769729146055</v>
      </c>
    </row>
    <row r="91" spans="1:16">
      <c r="A91" s="206"/>
      <c r="B91" s="206"/>
      <c r="C91" s="206"/>
      <c r="D91" s="206"/>
      <c r="E91" s="256"/>
      <c r="F91" s="256"/>
      <c r="G91" s="256"/>
      <c r="H91" s="256"/>
      <c r="I91" s="254"/>
      <c r="J91" s="254"/>
      <c r="K91" s="256"/>
      <c r="L91" s="265"/>
      <c r="M91" s="265"/>
      <c r="N91" s="254"/>
      <c r="O91" s="265"/>
      <c r="P91" s="256"/>
    </row>
    <row r="92" spans="1:16">
      <c r="A92" s="280" t="str">
        <f>A6</f>
        <v>AIRLOCK VT</v>
      </c>
      <c r="B92" s="206"/>
      <c r="C92" s="206"/>
      <c r="D92" s="206"/>
      <c r="E92" s="266"/>
      <c r="F92" s="267"/>
      <c r="G92" s="267"/>
      <c r="H92" s="267"/>
      <c r="I92" s="254"/>
      <c r="J92" s="254"/>
      <c r="K92" s="256"/>
      <c r="L92" s="265"/>
      <c r="M92" s="265"/>
      <c r="N92" s="254"/>
      <c r="O92" s="265"/>
      <c r="P92" s="256"/>
    </row>
    <row r="93" spans="1:16">
      <c r="A93" s="206" t="s">
        <v>264</v>
      </c>
      <c r="B93" s="206"/>
      <c r="C93" s="206"/>
      <c r="D93" s="206"/>
      <c r="E93" s="255">
        <f>K6</f>
        <v>0</v>
      </c>
      <c r="F93" s="254">
        <v>0.8</v>
      </c>
      <c r="G93" s="254">
        <v>12.5</v>
      </c>
      <c r="H93" s="254">
        <v>23.6</v>
      </c>
      <c r="I93" s="254">
        <f t="shared" ref="I93:I97" si="39">F93</f>
        <v>0.8</v>
      </c>
      <c r="J93" s="254"/>
      <c r="K93" s="263">
        <f>$E$27*E93*I93</f>
        <v>0</v>
      </c>
      <c r="L93" s="264">
        <f>I93+($M$6-$C$6)-(34-26)</f>
        <v>6.8000000000000007</v>
      </c>
      <c r="M93" s="265">
        <v>10</v>
      </c>
      <c r="N93" s="264">
        <f>(11-M93)*0.5+L93</f>
        <v>7.3000000000000007</v>
      </c>
      <c r="O93" s="264">
        <f>N93</f>
        <v>7.3000000000000007</v>
      </c>
      <c r="P93" s="263">
        <f>$E$27*E93*O93</f>
        <v>0</v>
      </c>
    </row>
    <row r="94" spans="1:16">
      <c r="A94" s="206" t="s">
        <v>265</v>
      </c>
      <c r="B94" s="206"/>
      <c r="C94" s="206"/>
      <c r="D94" s="206"/>
      <c r="E94" s="255">
        <v>0</v>
      </c>
      <c r="F94" s="254">
        <v>-1.4</v>
      </c>
      <c r="G94" s="265">
        <v>3</v>
      </c>
      <c r="H94" s="254">
        <v>16.399999999999999</v>
      </c>
      <c r="I94" s="254">
        <f t="shared" si="39"/>
        <v>-1.4</v>
      </c>
      <c r="J94" s="254"/>
      <c r="K94" s="263">
        <f>$E$29*E94*I94</f>
        <v>0</v>
      </c>
      <c r="L94" s="264">
        <f t="shared" ref="L94:L97" si="40">I94+($M$6-$C$6)-(34-26)</f>
        <v>4.5999999999999996</v>
      </c>
      <c r="M94" s="265">
        <v>10</v>
      </c>
      <c r="N94" s="264">
        <f t="shared" ref="N94:N97" si="41">(11-M94)*0.5+L94</f>
        <v>5.0999999999999996</v>
      </c>
      <c r="O94" s="264">
        <f t="shared" ref="O94:O97" si="42">N94</f>
        <v>5.0999999999999996</v>
      </c>
      <c r="P94" s="263">
        <f>$E$29*E94*O94</f>
        <v>0</v>
      </c>
    </row>
    <row r="95" spans="1:16">
      <c r="A95" s="206" t="s">
        <v>277</v>
      </c>
      <c r="B95" s="206"/>
      <c r="C95" s="206"/>
      <c r="D95" s="206"/>
      <c r="E95" s="255">
        <f>N6</f>
        <v>7.56</v>
      </c>
      <c r="F95" s="254">
        <v>13.1</v>
      </c>
      <c r="G95" s="254">
        <v>8.1</v>
      </c>
      <c r="H95" s="254">
        <v>7.4</v>
      </c>
      <c r="I95" s="254">
        <f t="shared" si="39"/>
        <v>13.1</v>
      </c>
      <c r="J95" s="254"/>
      <c r="K95" s="263">
        <f t="shared" ref="K95:K97" si="43">$E$29*E95*I95</f>
        <v>24.034922343201654</v>
      </c>
      <c r="L95" s="264">
        <f t="shared" si="40"/>
        <v>19.100000000000001</v>
      </c>
      <c r="M95" s="265">
        <v>10</v>
      </c>
      <c r="N95" s="264">
        <f t="shared" si="41"/>
        <v>19.600000000000001</v>
      </c>
      <c r="O95" s="264">
        <f t="shared" si="42"/>
        <v>19.600000000000001</v>
      </c>
      <c r="P95" s="263">
        <f t="shared" ref="P95:P97" si="44">$E$29*E95*O95</f>
        <v>35.960647169981108</v>
      </c>
    </row>
    <row r="96" spans="1:16">
      <c r="A96" s="206" t="s">
        <v>327</v>
      </c>
      <c r="B96" s="206"/>
      <c r="C96" s="206"/>
      <c r="D96" s="206"/>
      <c r="E96" s="255">
        <v>0</v>
      </c>
      <c r="F96" s="254">
        <v>-0.3</v>
      </c>
      <c r="G96" s="254">
        <v>4.2</v>
      </c>
      <c r="H96" s="254">
        <v>19.7</v>
      </c>
      <c r="I96" s="254">
        <f t="shared" si="39"/>
        <v>-0.3</v>
      </c>
      <c r="J96" s="254"/>
      <c r="K96" s="263">
        <f t="shared" si="43"/>
        <v>0</v>
      </c>
      <c r="L96" s="264">
        <f t="shared" si="40"/>
        <v>5.6999999999999993</v>
      </c>
      <c r="M96" s="265">
        <v>10</v>
      </c>
      <c r="N96" s="264">
        <f t="shared" si="41"/>
        <v>6.1999999999999993</v>
      </c>
      <c r="O96" s="264">
        <f t="shared" si="42"/>
        <v>6.1999999999999993</v>
      </c>
      <c r="P96" s="263">
        <f t="shared" si="44"/>
        <v>0</v>
      </c>
    </row>
    <row r="97" spans="1:16">
      <c r="A97" s="206" t="s">
        <v>328</v>
      </c>
      <c r="B97" s="206"/>
      <c r="C97" s="206"/>
      <c r="D97" s="206"/>
      <c r="E97" s="255">
        <v>0</v>
      </c>
      <c r="F97" s="254">
        <v>10.8</v>
      </c>
      <c r="G97" s="254">
        <v>14.1</v>
      </c>
      <c r="H97" s="254">
        <v>7.4</v>
      </c>
      <c r="I97" s="254">
        <f t="shared" si="39"/>
        <v>10.8</v>
      </c>
      <c r="J97" s="254"/>
      <c r="K97" s="263">
        <f t="shared" si="43"/>
        <v>0</v>
      </c>
      <c r="L97" s="264">
        <f t="shared" si="40"/>
        <v>16.8</v>
      </c>
      <c r="M97" s="265">
        <v>10</v>
      </c>
      <c r="N97" s="264">
        <f t="shared" si="41"/>
        <v>17.3</v>
      </c>
      <c r="O97" s="264">
        <f t="shared" si="42"/>
        <v>17.3</v>
      </c>
      <c r="P97" s="263">
        <f t="shared" si="44"/>
        <v>0</v>
      </c>
    </row>
    <row r="98" spans="1:16">
      <c r="A98" s="206" t="s">
        <v>263</v>
      </c>
      <c r="B98" s="206"/>
      <c r="C98" s="206"/>
      <c r="D98" s="206"/>
      <c r="E98" s="256"/>
      <c r="F98" s="256">
        <f>$E$29*$E$94*F94+$E$29*$E$95*F95+$E$27*$E$93*F93+$E$29*$E$96*F96+$E$29*$E$97*F97</f>
        <v>24.034922343201654</v>
      </c>
      <c r="G98" s="256">
        <f>$E$29*$E$94*G94+$E$29*$E$95*G95+$E$27*$E$93*G93+$E$29*$E$96*G96+$E$29*$E$97*G97</f>
        <v>14.861287861063619</v>
      </c>
      <c r="H98" s="256">
        <f>$E$29*$E$94*H94+$E$29*$E$95*H95+$E$27*$E$93*H93+$E$29*$E$96*H96+$E$29*$E$97*H97</f>
        <v>13.576979033564294</v>
      </c>
      <c r="I98" s="254"/>
      <c r="J98" s="254"/>
      <c r="K98" s="256">
        <f>SUM(K93:K97)</f>
        <v>24.034922343201654</v>
      </c>
      <c r="L98" s="265"/>
      <c r="M98" s="265"/>
      <c r="N98" s="254"/>
      <c r="O98" s="265"/>
      <c r="P98" s="256">
        <f>SUM(P93:P97)</f>
        <v>35.960647169981108</v>
      </c>
    </row>
    <row r="99" spans="1:16">
      <c r="A99" s="206"/>
      <c r="B99" s="206"/>
      <c r="C99" s="206"/>
      <c r="D99" s="206"/>
      <c r="E99" s="256"/>
      <c r="F99" s="256"/>
      <c r="G99" s="256"/>
      <c r="H99" s="256"/>
      <c r="I99" s="254"/>
      <c r="J99" s="254"/>
      <c r="K99" s="256"/>
      <c r="L99" s="265"/>
      <c r="M99" s="265"/>
      <c r="N99" s="254"/>
      <c r="O99" s="265"/>
      <c r="P99" s="256"/>
    </row>
    <row r="100" spans="1:16">
      <c r="A100" s="280" t="str">
        <f>A7</f>
        <v>CORRIDOR</v>
      </c>
      <c r="B100" s="206"/>
      <c r="C100" s="206"/>
      <c r="D100" s="206"/>
      <c r="E100" s="266"/>
      <c r="F100" s="267"/>
      <c r="G100" s="267"/>
      <c r="H100" s="267"/>
      <c r="I100" s="254"/>
      <c r="J100" s="254"/>
      <c r="K100" s="256"/>
      <c r="L100" s="265"/>
      <c r="M100" s="265"/>
      <c r="N100" s="254"/>
      <c r="O100" s="265"/>
      <c r="P100" s="256"/>
    </row>
    <row r="101" spans="1:16">
      <c r="A101" s="206" t="s">
        <v>264</v>
      </c>
      <c r="B101" s="206"/>
      <c r="C101" s="206"/>
      <c r="D101" s="206"/>
      <c r="E101" s="255">
        <f>K7</f>
        <v>0</v>
      </c>
      <c r="F101" s="254">
        <v>0.8</v>
      </c>
      <c r="G101" s="254">
        <v>12.5</v>
      </c>
      <c r="H101" s="254">
        <v>23.6</v>
      </c>
      <c r="I101" s="254">
        <f t="shared" ref="I101:I105" si="45">F101</f>
        <v>0.8</v>
      </c>
      <c r="J101" s="254"/>
      <c r="K101" s="263">
        <f>$E$27*E101*I101</f>
        <v>0</v>
      </c>
      <c r="L101" s="264">
        <f>I101+($M$7-$C$7)-(34-26)</f>
        <v>6.8000000000000007</v>
      </c>
      <c r="M101" s="265">
        <v>10</v>
      </c>
      <c r="N101" s="264">
        <f>(11-M101)*0.5+L101</f>
        <v>7.3000000000000007</v>
      </c>
      <c r="O101" s="264">
        <f>N101</f>
        <v>7.3000000000000007</v>
      </c>
      <c r="P101" s="263">
        <f>$E$27*E101*O101</f>
        <v>0</v>
      </c>
    </row>
    <row r="102" spans="1:16">
      <c r="A102" s="206" t="s">
        <v>265</v>
      </c>
      <c r="B102" s="206"/>
      <c r="C102" s="206"/>
      <c r="D102" s="206"/>
      <c r="E102" s="255">
        <v>0</v>
      </c>
      <c r="F102" s="254">
        <v>-1.4</v>
      </c>
      <c r="G102" s="265">
        <v>3</v>
      </c>
      <c r="H102" s="254">
        <v>16.399999999999999</v>
      </c>
      <c r="I102" s="254">
        <f t="shared" si="45"/>
        <v>-1.4</v>
      </c>
      <c r="J102" s="254"/>
      <c r="K102" s="263">
        <f>$E$29*E102*I102</f>
        <v>0</v>
      </c>
      <c r="L102" s="264">
        <f t="shared" ref="L102:L105" si="46">I102+($M$7-$C$7)-(34-26)</f>
        <v>4.5999999999999996</v>
      </c>
      <c r="M102" s="265">
        <v>10</v>
      </c>
      <c r="N102" s="264">
        <f t="shared" ref="N102:N105" si="47">(11-M102)*0.5+L102</f>
        <v>5.0999999999999996</v>
      </c>
      <c r="O102" s="264">
        <f t="shared" ref="O102:O105" si="48">N102</f>
        <v>5.0999999999999996</v>
      </c>
      <c r="P102" s="263">
        <f>$E$29*E102*O102</f>
        <v>0</v>
      </c>
    </row>
    <row r="103" spans="1:16">
      <c r="A103" s="206" t="s">
        <v>277</v>
      </c>
      <c r="B103" s="206"/>
      <c r="C103" s="206"/>
      <c r="D103" s="206"/>
      <c r="E103" s="255">
        <f>N7</f>
        <v>4.0500000000000007</v>
      </c>
      <c r="F103" s="254">
        <v>13.1</v>
      </c>
      <c r="G103" s="254">
        <v>8.1</v>
      </c>
      <c r="H103" s="254">
        <v>7.4</v>
      </c>
      <c r="I103" s="254">
        <f t="shared" si="45"/>
        <v>13.1</v>
      </c>
      <c r="J103" s="254"/>
      <c r="K103" s="263">
        <f t="shared" ref="K103:K105" si="49">$E$29*E103*I103</f>
        <v>12.875851255286603</v>
      </c>
      <c r="L103" s="264">
        <f t="shared" si="46"/>
        <v>19.100000000000001</v>
      </c>
      <c r="M103" s="265">
        <v>10</v>
      </c>
      <c r="N103" s="264">
        <f t="shared" si="47"/>
        <v>19.600000000000001</v>
      </c>
      <c r="O103" s="264">
        <f t="shared" si="48"/>
        <v>19.600000000000001</v>
      </c>
      <c r="P103" s="263">
        <f t="shared" ref="P103:P105" si="50">$E$29*E103*O103</f>
        <v>19.264632412489881</v>
      </c>
    </row>
    <row r="104" spans="1:16">
      <c r="A104" s="206" t="s">
        <v>327</v>
      </c>
      <c r="B104" s="206"/>
      <c r="C104" s="206"/>
      <c r="D104" s="206"/>
      <c r="E104" s="255">
        <v>0</v>
      </c>
      <c r="F104" s="254">
        <v>-0.3</v>
      </c>
      <c r="G104" s="254">
        <v>4.2</v>
      </c>
      <c r="H104" s="254">
        <v>19.7</v>
      </c>
      <c r="I104" s="254">
        <f t="shared" si="45"/>
        <v>-0.3</v>
      </c>
      <c r="J104" s="254"/>
      <c r="K104" s="263">
        <f t="shared" si="49"/>
        <v>0</v>
      </c>
      <c r="L104" s="264">
        <f t="shared" si="46"/>
        <v>5.6999999999999993</v>
      </c>
      <c r="M104" s="265">
        <v>10</v>
      </c>
      <c r="N104" s="264">
        <f t="shared" si="47"/>
        <v>6.1999999999999993</v>
      </c>
      <c r="O104" s="264">
        <f t="shared" si="48"/>
        <v>6.1999999999999993</v>
      </c>
      <c r="P104" s="263">
        <f t="shared" si="50"/>
        <v>0</v>
      </c>
    </row>
    <row r="105" spans="1:16">
      <c r="A105" s="206" t="s">
        <v>328</v>
      </c>
      <c r="B105" s="206"/>
      <c r="C105" s="206"/>
      <c r="D105" s="206"/>
      <c r="E105" s="255">
        <v>0</v>
      </c>
      <c r="F105" s="254">
        <v>10.8</v>
      </c>
      <c r="G105" s="254">
        <v>14.1</v>
      </c>
      <c r="H105" s="254">
        <v>7.4</v>
      </c>
      <c r="I105" s="254">
        <f t="shared" si="45"/>
        <v>10.8</v>
      </c>
      <c r="J105" s="254"/>
      <c r="K105" s="263">
        <f t="shared" si="49"/>
        <v>0</v>
      </c>
      <c r="L105" s="264">
        <f t="shared" si="46"/>
        <v>16.8</v>
      </c>
      <c r="M105" s="265">
        <v>10</v>
      </c>
      <c r="N105" s="264">
        <f t="shared" si="47"/>
        <v>17.3</v>
      </c>
      <c r="O105" s="264">
        <f t="shared" si="48"/>
        <v>17.3</v>
      </c>
      <c r="P105" s="263">
        <f t="shared" si="50"/>
        <v>0</v>
      </c>
    </row>
    <row r="106" spans="1:16">
      <c r="A106" s="206" t="s">
        <v>263</v>
      </c>
      <c r="B106" s="206"/>
      <c r="C106" s="206"/>
      <c r="D106" s="206"/>
      <c r="E106" s="256"/>
      <c r="F106" s="256">
        <f>$E$29*$E$102*F102+$E$29*$E$103*F103+$E$27*$E$101*F101+$E$29*$E$104*F104+$E$29*$E$105*F105</f>
        <v>12.875851255286603</v>
      </c>
      <c r="G106" s="256">
        <f>$E$29*$E$102*G102+$E$29*$E$103*G103+$E$27*$E$101*G101+$E$29*$E$104*G104+$E$29*$E$105*G105</f>
        <v>7.9614042112840835</v>
      </c>
      <c r="H106" s="256">
        <f>$E$29*$E$102*H102+$E$29*$E$103*H103+$E$27*$E$101*H101+$E$29*$E$104*H104+$E$29*$E$105*H105</f>
        <v>7.2733816251237311</v>
      </c>
      <c r="I106" s="254"/>
      <c r="J106" s="254"/>
      <c r="K106" s="256">
        <f>SUM(K101:K105)</f>
        <v>12.875851255286603</v>
      </c>
      <c r="L106" s="265"/>
      <c r="M106" s="265"/>
      <c r="N106" s="254"/>
      <c r="O106" s="265"/>
      <c r="P106" s="256">
        <f>SUM(P101:P105)</f>
        <v>19.264632412489881</v>
      </c>
    </row>
    <row r="107" spans="1:16">
      <c r="A107" s="206"/>
      <c r="B107" s="206"/>
      <c r="C107" s="206"/>
      <c r="D107" s="206"/>
      <c r="E107" s="256"/>
      <c r="F107" s="256"/>
      <c r="G107" s="256"/>
      <c r="H107" s="256"/>
      <c r="I107" s="254"/>
      <c r="J107" s="254"/>
      <c r="K107" s="256"/>
      <c r="L107" s="265"/>
      <c r="M107" s="265"/>
      <c r="N107" s="254"/>
      <c r="O107" s="265"/>
      <c r="P107" s="256"/>
    </row>
    <row r="109" spans="1:16">
      <c r="A109" s="206"/>
      <c r="B109" s="206"/>
      <c r="C109" s="206"/>
      <c r="D109" s="206"/>
      <c r="E109" s="256"/>
      <c r="F109" s="256"/>
      <c r="G109" s="256"/>
      <c r="H109" s="256"/>
      <c r="I109" s="254"/>
      <c r="J109" s="254"/>
      <c r="K109" s="256"/>
      <c r="L109" s="265"/>
      <c r="M109" s="265"/>
      <c r="N109" s="254"/>
      <c r="O109" s="265"/>
      <c r="P109" s="256"/>
    </row>
    <row r="110" spans="1:16">
      <c r="A110" s="280" t="str">
        <f>A11</f>
        <v>ELECTRIC ROOM</v>
      </c>
      <c r="B110" s="206"/>
      <c r="C110" s="206"/>
      <c r="D110" s="206"/>
      <c r="E110" s="266"/>
      <c r="F110" s="267"/>
      <c r="G110" s="267"/>
      <c r="H110" s="267"/>
      <c r="I110" s="254"/>
      <c r="J110" s="254"/>
      <c r="K110" s="256"/>
      <c r="L110" s="265"/>
      <c r="M110" s="265"/>
      <c r="N110" s="254"/>
      <c r="O110" s="265"/>
      <c r="P110" s="256"/>
    </row>
    <row r="111" spans="1:16">
      <c r="A111" s="206" t="s">
        <v>264</v>
      </c>
      <c r="B111" s="206"/>
      <c r="C111" s="206"/>
      <c r="D111" s="206"/>
      <c r="E111" s="255">
        <f>K11</f>
        <v>27</v>
      </c>
      <c r="F111" s="254">
        <v>0.8</v>
      </c>
      <c r="G111" s="254">
        <v>12.5</v>
      </c>
      <c r="H111" s="254">
        <v>23.6</v>
      </c>
      <c r="I111" s="254">
        <f t="shared" ref="I111:I115" si="51">H111</f>
        <v>23.6</v>
      </c>
      <c r="J111" s="254"/>
      <c r="K111" s="263">
        <f>$E$27*E111*I111</f>
        <v>268.72220685147579</v>
      </c>
      <c r="L111" s="264">
        <f>I111+($M$11-$C$11)-(34-26)</f>
        <v>29.6</v>
      </c>
      <c r="M111" s="265">
        <v>10</v>
      </c>
      <c r="N111" s="264">
        <f>(11-M111)*0.5+L111</f>
        <v>30.1</v>
      </c>
      <c r="O111" s="264">
        <f>N111</f>
        <v>30.1</v>
      </c>
      <c r="P111" s="263">
        <f>$E$27*E111*O111</f>
        <v>342.73467907751785</v>
      </c>
    </row>
    <row r="112" spans="1:16">
      <c r="A112" s="206" t="s">
        <v>265</v>
      </c>
      <c r="B112" s="206"/>
      <c r="C112" s="206"/>
      <c r="D112" s="206"/>
      <c r="E112" s="255">
        <v>0</v>
      </c>
      <c r="F112" s="254">
        <v>-1.4</v>
      </c>
      <c r="G112" s="265">
        <v>3</v>
      </c>
      <c r="H112" s="254">
        <v>16.399999999999999</v>
      </c>
      <c r="I112" s="254">
        <f t="shared" si="51"/>
        <v>16.399999999999999</v>
      </c>
      <c r="J112" s="254"/>
      <c r="K112" s="263">
        <f>$E$29*E112*I112</f>
        <v>0</v>
      </c>
      <c r="L112" s="264">
        <f t="shared" ref="L112:L115" si="52">I112+($M$11-$C$11)-(34-26)</f>
        <v>22.4</v>
      </c>
      <c r="M112" s="265">
        <v>10</v>
      </c>
      <c r="N112" s="264">
        <f t="shared" ref="N112:N115" si="53">(11-M112)*0.5+L112</f>
        <v>22.9</v>
      </c>
      <c r="O112" s="264">
        <f t="shared" ref="O112:O115" si="54">N112</f>
        <v>22.9</v>
      </c>
      <c r="P112" s="263">
        <f>$E$29*E112*O112</f>
        <v>0</v>
      </c>
    </row>
    <row r="113" spans="1:16">
      <c r="A113" s="206" t="s">
        <v>277</v>
      </c>
      <c r="B113" s="206"/>
      <c r="C113" s="206"/>
      <c r="D113" s="206"/>
      <c r="E113" s="255">
        <v>0</v>
      </c>
      <c r="F113" s="254">
        <v>13.1</v>
      </c>
      <c r="G113" s="254">
        <v>8.1</v>
      </c>
      <c r="H113" s="254">
        <v>7.4</v>
      </c>
      <c r="I113" s="254">
        <f t="shared" si="51"/>
        <v>7.4</v>
      </c>
      <c r="J113" s="254"/>
      <c r="K113" s="263">
        <f t="shared" ref="K113:K115" si="55">$E$29*E113*I113</f>
        <v>0</v>
      </c>
      <c r="L113" s="264">
        <f t="shared" si="52"/>
        <v>13.399999999999999</v>
      </c>
      <c r="M113" s="265">
        <v>10</v>
      </c>
      <c r="N113" s="264">
        <f t="shared" si="53"/>
        <v>13.899999999999999</v>
      </c>
      <c r="O113" s="264">
        <f t="shared" si="54"/>
        <v>13.899999999999999</v>
      </c>
      <c r="P113" s="263">
        <f t="shared" ref="P113:P115" si="56">$E$29*E113*O113</f>
        <v>0</v>
      </c>
    </row>
    <row r="114" spans="1:16">
      <c r="A114" s="206" t="s">
        <v>327</v>
      </c>
      <c r="B114" s="206"/>
      <c r="C114" s="206"/>
      <c r="D114" s="206"/>
      <c r="E114" s="255">
        <v>0</v>
      </c>
      <c r="F114" s="254">
        <v>-0.3</v>
      </c>
      <c r="G114" s="254">
        <v>4.2</v>
      </c>
      <c r="H114" s="254">
        <v>19.7</v>
      </c>
      <c r="I114" s="254">
        <f t="shared" si="51"/>
        <v>19.7</v>
      </c>
      <c r="J114" s="254"/>
      <c r="K114" s="263">
        <f t="shared" si="55"/>
        <v>0</v>
      </c>
      <c r="L114" s="264">
        <f t="shared" si="52"/>
        <v>25.700000000000003</v>
      </c>
      <c r="M114" s="265">
        <v>10</v>
      </c>
      <c r="N114" s="264">
        <f t="shared" si="53"/>
        <v>26.200000000000003</v>
      </c>
      <c r="O114" s="264">
        <f t="shared" si="54"/>
        <v>26.200000000000003</v>
      </c>
      <c r="P114" s="263">
        <f t="shared" si="56"/>
        <v>0</v>
      </c>
    </row>
    <row r="115" spans="1:16">
      <c r="A115" s="206" t="s">
        <v>328</v>
      </c>
      <c r="B115" s="206"/>
      <c r="C115" s="206"/>
      <c r="D115" s="206"/>
      <c r="E115" s="255">
        <v>0</v>
      </c>
      <c r="F115" s="254">
        <v>10.8</v>
      </c>
      <c r="G115" s="254">
        <v>14.1</v>
      </c>
      <c r="H115" s="254">
        <v>7.4</v>
      </c>
      <c r="I115" s="254">
        <f t="shared" si="51"/>
        <v>7.4</v>
      </c>
      <c r="J115" s="254"/>
      <c r="K115" s="263">
        <f t="shared" si="55"/>
        <v>0</v>
      </c>
      <c r="L115" s="264">
        <f t="shared" si="52"/>
        <v>13.399999999999999</v>
      </c>
      <c r="M115" s="265">
        <v>10</v>
      </c>
      <c r="N115" s="264">
        <f t="shared" si="53"/>
        <v>13.899999999999999</v>
      </c>
      <c r="O115" s="264">
        <f t="shared" si="54"/>
        <v>13.899999999999999</v>
      </c>
      <c r="P115" s="263">
        <f t="shared" si="56"/>
        <v>0</v>
      </c>
    </row>
    <row r="116" spans="1:16">
      <c r="A116" s="206" t="s">
        <v>263</v>
      </c>
      <c r="B116" s="206"/>
      <c r="C116" s="206"/>
      <c r="D116" s="206"/>
      <c r="E116" s="256"/>
      <c r="F116" s="256">
        <f>$E$29*$E$112*F112+$E$29*$E$113*F113+$E$27*$E$111*F111+$E$29*$E$114*F114+$E$29*$E$115*F115</f>
        <v>9.1092273508974841</v>
      </c>
      <c r="G116" s="256">
        <f>$E$29*$E$112*G112+$E$29*$E$113*G113+$E$27*$E$111*G111+$E$29*$E$114*G114+$E$29*$E$115*G115</f>
        <v>142.3316773577732</v>
      </c>
      <c r="H116" s="256">
        <f>$E$29*$E$112*H112+$E$29*$E$113*H113+$E$27*$E$111*H111+$E$29*$E$114*H114+$E$29*$E$115*H115</f>
        <v>268.72220685147579</v>
      </c>
      <c r="I116" s="254"/>
      <c r="J116" s="254"/>
      <c r="K116" s="256">
        <f>SUM(K111:K115)</f>
        <v>268.72220685147579</v>
      </c>
      <c r="L116" s="265"/>
      <c r="M116" s="265"/>
      <c r="N116" s="254"/>
      <c r="O116" s="265"/>
      <c r="P116" s="256">
        <f>SUM(P111:P115)</f>
        <v>342.73467907751785</v>
      </c>
    </row>
    <row r="117" spans="1:16">
      <c r="A117" s="206"/>
      <c r="B117" s="206"/>
      <c r="C117" s="206"/>
      <c r="D117" s="206"/>
      <c r="E117" s="256"/>
      <c r="F117" s="256"/>
      <c r="G117" s="256"/>
      <c r="H117" s="256"/>
      <c r="I117" s="254"/>
      <c r="J117" s="254"/>
      <c r="K117" s="256"/>
      <c r="L117" s="265"/>
      <c r="M117" s="265"/>
      <c r="N117" s="254"/>
      <c r="O117" s="265"/>
      <c r="P117" s="256"/>
    </row>
    <row r="118" spans="1:16">
      <c r="A118" s="191" t="s">
        <v>329</v>
      </c>
    </row>
    <row r="119" spans="1:16">
      <c r="A119" s="191" t="s">
        <v>330</v>
      </c>
      <c r="B119" s="335">
        <v>5</v>
      </c>
    </row>
    <row r="120" spans="1:16">
      <c r="A120" s="191" t="s">
        <v>331</v>
      </c>
      <c r="B120" s="335">
        <v>50</v>
      </c>
    </row>
    <row r="121" spans="1:16">
      <c r="A121" s="191" t="s">
        <v>332</v>
      </c>
      <c r="B121" s="335">
        <f>1*1.2*3</f>
        <v>3.5999999999999996</v>
      </c>
    </row>
    <row r="122" spans="1:16">
      <c r="A122" s="191" t="s">
        <v>333</v>
      </c>
      <c r="B122" s="335">
        <v>10</v>
      </c>
    </row>
    <row r="123" spans="1:16">
      <c r="A123" s="191" t="s">
        <v>334</v>
      </c>
      <c r="B123" s="335">
        <f>B121*B122*60</f>
        <v>2160</v>
      </c>
    </row>
    <row r="124" spans="1:16">
      <c r="A124" s="191" t="s">
        <v>335</v>
      </c>
      <c r="B124" s="335">
        <f>B123/4</f>
        <v>540</v>
      </c>
    </row>
    <row r="125" spans="1:16">
      <c r="A125" s="191" t="s">
        <v>336</v>
      </c>
      <c r="B125" s="335">
        <f>B124*(C16-B119)*0.3/0.86</f>
        <v>3202.3255813953488</v>
      </c>
    </row>
  </sheetData>
  <mergeCells count="23">
    <mergeCell ref="AB13:AB14"/>
    <mergeCell ref="N68:N73"/>
    <mergeCell ref="O68:O73"/>
    <mergeCell ref="A12:B13"/>
    <mergeCell ref="C12:Z12"/>
    <mergeCell ref="C13:C14"/>
    <mergeCell ref="D13:F13"/>
    <mergeCell ref="G13:I13"/>
    <mergeCell ref="J13:L13"/>
    <mergeCell ref="M13:O13"/>
    <mergeCell ref="P13:R13"/>
    <mergeCell ref="S13:U13"/>
    <mergeCell ref="Z13:Z14"/>
    <mergeCell ref="A1:B2"/>
    <mergeCell ref="C1:Z1"/>
    <mergeCell ref="C2:C3"/>
    <mergeCell ref="D2:F2"/>
    <mergeCell ref="G2:I2"/>
    <mergeCell ref="J2:L2"/>
    <mergeCell ref="M2:O2"/>
    <mergeCell ref="P2:R2"/>
    <mergeCell ref="S2:U2"/>
    <mergeCell ref="Z2:Z3"/>
  </mergeCells>
  <conditionalFormatting sqref="F82:H83">
    <cfRule type="colorScale" priority="10">
      <colorScale>
        <cfvo type="min"/>
        <cfvo type="max"/>
        <color rgb="FFFCFCFF"/>
        <color rgb="FFF8696B"/>
      </colorScale>
    </cfRule>
  </conditionalFormatting>
  <conditionalFormatting sqref="F84:H84">
    <cfRule type="colorScale" priority="11">
      <colorScale>
        <cfvo type="min"/>
        <cfvo type="max"/>
        <color rgb="FFFCFCFF"/>
        <color rgb="FFF8696B"/>
      </colorScale>
    </cfRule>
  </conditionalFormatting>
  <conditionalFormatting sqref="F90:H91">
    <cfRule type="colorScale" priority="8">
      <colorScale>
        <cfvo type="min"/>
        <cfvo type="max"/>
        <color rgb="FFFCFCFF"/>
        <color rgb="FFF8696B"/>
      </colorScale>
    </cfRule>
  </conditionalFormatting>
  <conditionalFormatting sqref="F92:H92">
    <cfRule type="colorScale" priority="4">
      <colorScale>
        <cfvo type="min"/>
        <cfvo type="max"/>
        <color rgb="FFFCFCFF"/>
        <color rgb="FFF8696B"/>
      </colorScale>
    </cfRule>
  </conditionalFormatting>
  <conditionalFormatting sqref="F98:H99 F106:H107">
    <cfRule type="colorScale" priority="6">
      <colorScale>
        <cfvo type="min"/>
        <cfvo type="max"/>
        <color rgb="FFFCFCFF"/>
        <color rgb="FFF8696B"/>
      </colorScale>
    </cfRule>
  </conditionalFormatting>
  <conditionalFormatting sqref="F100:H100">
    <cfRule type="colorScale" priority="3">
      <colorScale>
        <cfvo type="min"/>
        <cfvo type="max"/>
        <color rgb="FFFCFCFF"/>
        <color rgb="FFF8696B"/>
      </colorScale>
    </cfRule>
  </conditionalFormatting>
  <conditionalFormatting sqref="F109:H109 F116:H117">
    <cfRule type="colorScale" priority="2">
      <colorScale>
        <cfvo type="min"/>
        <cfvo type="max"/>
        <color rgb="FFFCFCFF"/>
        <color rgb="FFF8696B"/>
      </colorScale>
    </cfRule>
  </conditionalFormatting>
  <conditionalFormatting sqref="F110:H110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C76"/>
  <sheetViews>
    <sheetView zoomScaleNormal="100" workbookViewId="0">
      <selection activeCell="G21" sqref="G21"/>
    </sheetView>
  </sheetViews>
  <sheetFormatPr defaultColWidth="8.88671875" defaultRowHeight="13.2"/>
  <cols>
    <col min="1" max="1" width="36" style="191" bestFit="1" customWidth="1"/>
    <col min="2" max="2" width="8.44140625" style="191" customWidth="1"/>
    <col min="3" max="3" width="11.5546875" style="191" customWidth="1"/>
    <col min="4" max="4" width="6.109375" style="191" bestFit="1" customWidth="1"/>
    <col min="5" max="5" width="15.44140625" style="191" customWidth="1"/>
    <col min="6" max="6" width="12.6640625" style="191" customWidth="1"/>
    <col min="7" max="7" width="6.109375" style="191" bestFit="1" customWidth="1"/>
    <col min="8" max="8" width="15.44140625" style="191" customWidth="1"/>
    <col min="9" max="9" width="12.6640625" style="191" customWidth="1"/>
    <col min="10" max="10" width="6.109375" style="191" bestFit="1" customWidth="1"/>
    <col min="11" max="11" width="15.5546875" style="191" customWidth="1"/>
    <col min="12" max="12" width="12.6640625" style="191" customWidth="1"/>
    <col min="13" max="13" width="6.109375" style="191" bestFit="1" customWidth="1"/>
    <col min="14" max="14" width="15.44140625" style="191" customWidth="1"/>
    <col min="15" max="15" width="12.6640625" style="191" customWidth="1"/>
    <col min="16" max="16" width="6.109375" style="191" customWidth="1"/>
    <col min="17" max="17" width="15.44140625" style="191" customWidth="1"/>
    <col min="18" max="18" width="12.6640625" style="191" customWidth="1"/>
    <col min="19" max="19" width="6.109375" style="191" customWidth="1"/>
    <col min="20" max="20" width="15.33203125" style="191" customWidth="1"/>
    <col min="21" max="21" width="12.6640625" style="191" customWidth="1"/>
    <col min="22" max="23" width="18.88671875" style="191" bestFit="1" customWidth="1"/>
    <col min="24" max="24" width="15.88671875" style="191" customWidth="1"/>
    <col min="25" max="25" width="10.88671875" style="191" customWidth="1"/>
    <col min="26" max="26" width="11" style="191" customWidth="1"/>
    <col min="27" max="27" width="8.88671875" style="191"/>
    <col min="28" max="28" width="15.33203125" style="191" customWidth="1"/>
    <col min="29" max="16384" width="8.88671875" style="191"/>
  </cols>
  <sheetData>
    <row r="1" spans="1:29" ht="18" customHeight="1">
      <c r="A1" s="707" t="s">
        <v>29</v>
      </c>
      <c r="B1" s="708"/>
      <c r="C1" s="711" t="s">
        <v>191</v>
      </c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</row>
    <row r="2" spans="1:29" s="235" customFormat="1" ht="46.2" customHeight="1">
      <c r="A2" s="709"/>
      <c r="B2" s="710"/>
      <c r="C2" s="712" t="s">
        <v>192</v>
      </c>
      <c r="D2" s="712" t="s">
        <v>246</v>
      </c>
      <c r="E2" s="712"/>
      <c r="F2" s="712"/>
      <c r="G2" s="712" t="s">
        <v>342</v>
      </c>
      <c r="H2" s="712"/>
      <c r="I2" s="712"/>
      <c r="J2" s="712" t="s">
        <v>193</v>
      </c>
      <c r="K2" s="712"/>
      <c r="L2" s="712"/>
      <c r="M2" s="712" t="s">
        <v>194</v>
      </c>
      <c r="N2" s="712"/>
      <c r="O2" s="712"/>
      <c r="P2" s="712" t="s">
        <v>248</v>
      </c>
      <c r="Q2" s="712"/>
      <c r="R2" s="712"/>
      <c r="S2" s="712" t="s">
        <v>249</v>
      </c>
      <c r="T2" s="712"/>
      <c r="U2" s="712"/>
      <c r="V2" s="216" t="s">
        <v>195</v>
      </c>
      <c r="W2" s="216" t="s">
        <v>196</v>
      </c>
      <c r="X2" s="216" t="s">
        <v>197</v>
      </c>
      <c r="Y2" s="216" t="s">
        <v>198</v>
      </c>
      <c r="Z2" s="713" t="s">
        <v>199</v>
      </c>
    </row>
    <row r="3" spans="1:29">
      <c r="A3" s="236" t="s">
        <v>8</v>
      </c>
      <c r="B3" s="215" t="s">
        <v>85</v>
      </c>
      <c r="C3" s="711"/>
      <c r="D3" s="192" t="s">
        <v>200</v>
      </c>
      <c r="E3" s="192" t="s">
        <v>201</v>
      </c>
      <c r="F3" s="192" t="s">
        <v>202</v>
      </c>
      <c r="G3" s="192" t="s">
        <v>200</v>
      </c>
      <c r="H3" s="192" t="s">
        <v>201</v>
      </c>
      <c r="I3" s="192" t="s">
        <v>202</v>
      </c>
      <c r="J3" s="192" t="s">
        <v>200</v>
      </c>
      <c r="K3" s="192" t="s">
        <v>201</v>
      </c>
      <c r="L3" s="192" t="s">
        <v>202</v>
      </c>
      <c r="M3" s="192" t="s">
        <v>200</v>
      </c>
      <c r="N3" s="192" t="s">
        <v>201</v>
      </c>
      <c r="O3" s="192" t="s">
        <v>202</v>
      </c>
      <c r="P3" s="192" t="s">
        <v>200</v>
      </c>
      <c r="Q3" s="192" t="s">
        <v>201</v>
      </c>
      <c r="R3" s="192" t="s">
        <v>202</v>
      </c>
      <c r="S3" s="192" t="s">
        <v>200</v>
      </c>
      <c r="T3" s="192" t="s">
        <v>201</v>
      </c>
      <c r="U3" s="192" t="s">
        <v>202</v>
      </c>
      <c r="V3" s="192" t="s">
        <v>202</v>
      </c>
      <c r="W3" s="192" t="s">
        <v>202</v>
      </c>
      <c r="X3" s="192" t="s">
        <v>202</v>
      </c>
      <c r="Y3" s="192"/>
      <c r="Z3" s="714"/>
      <c r="AA3" s="193" t="s">
        <v>203</v>
      </c>
      <c r="AB3" s="193"/>
    </row>
    <row r="4" spans="1:29">
      <c r="A4" s="199" t="str">
        <f>'Design Criteria'!D8</f>
        <v>MATERIAL RECEIVING LINK CORRIDOR</v>
      </c>
      <c r="B4" s="237" t="str">
        <f>'Design Criteria'!C8</f>
        <v>E001</v>
      </c>
      <c r="C4" s="211">
        <f>'Design Criteria'!M8</f>
        <v>22</v>
      </c>
      <c r="D4" s="211">
        <v>15</v>
      </c>
      <c r="E4" s="211">
        <f>'Design Criteria'!J8</f>
        <v>238.5</v>
      </c>
      <c r="F4" s="239">
        <v>0</v>
      </c>
      <c r="G4" s="211">
        <v>30</v>
      </c>
      <c r="H4" s="211">
        <v>140</v>
      </c>
      <c r="I4" s="239">
        <f>$E$17*H4*(-C4+G4)</f>
        <v>355.60619520296638</v>
      </c>
      <c r="J4" s="211">
        <f>'Design Criteria'!$M$46</f>
        <v>36</v>
      </c>
      <c r="K4" s="238">
        <f>E4-H4</f>
        <v>98.5</v>
      </c>
      <c r="L4" s="239">
        <f>$E$13*K4*(-C4+J4)</f>
        <v>445.12406557673864</v>
      </c>
      <c r="M4" s="211">
        <f>'Design Criteria'!$M$46</f>
        <v>36</v>
      </c>
      <c r="N4" s="197">
        <f>(18.7+3.4+11.6+4.6+4.4+36.7)*3.5</f>
        <v>277.90000000000003</v>
      </c>
      <c r="O4" s="239">
        <f>$E$15*N4*(M4-C4)</f>
        <v>944.20482318005975</v>
      </c>
      <c r="P4" s="211" t="s">
        <v>276</v>
      </c>
      <c r="Q4" s="238">
        <v>0</v>
      </c>
      <c r="R4" s="195">
        <v>0</v>
      </c>
      <c r="S4" s="211">
        <v>5</v>
      </c>
      <c r="T4" s="238">
        <f>7.5*3.5</f>
        <v>26.25</v>
      </c>
      <c r="U4" s="239">
        <v>0</v>
      </c>
      <c r="V4" s="239">
        <f>MAX(SUM(P60)-L4,0)</f>
        <v>511.89267541324944</v>
      </c>
      <c r="W4" s="195">
        <v>0</v>
      </c>
      <c r="X4" s="239">
        <f>MAX(SUM(P61:P64)-O4,0)</f>
        <v>369.45114055610543</v>
      </c>
      <c r="Y4" s="195">
        <v>1</v>
      </c>
      <c r="Z4" s="281">
        <f>(F4+I4+O4+R4+U4+L4+V4+W4+X4)*Y4/1000</f>
        <v>2.6262788999291198</v>
      </c>
      <c r="AA4" s="334">
        <f>(Z4)/'Design Criteria'!$L$8*1000</f>
        <v>4.0783894711221675</v>
      </c>
      <c r="AB4" s="198"/>
    </row>
    <row r="5" spans="1:29" ht="18" customHeight="1">
      <c r="A5" s="707" t="s">
        <v>29</v>
      </c>
      <c r="B5" s="708"/>
      <c r="C5" s="720" t="s">
        <v>204</v>
      </c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  <c r="Y5" s="720"/>
      <c r="Z5" s="720"/>
    </row>
    <row r="6" spans="1:29" s="235" customFormat="1" ht="46.2" customHeight="1">
      <c r="A6" s="709"/>
      <c r="B6" s="710"/>
      <c r="C6" s="717" t="s">
        <v>192</v>
      </c>
      <c r="D6" s="717" t="s">
        <v>246</v>
      </c>
      <c r="E6" s="717"/>
      <c r="F6" s="717"/>
      <c r="G6" s="717" t="s">
        <v>247</v>
      </c>
      <c r="H6" s="717"/>
      <c r="I6" s="717"/>
      <c r="J6" s="717" t="s">
        <v>193</v>
      </c>
      <c r="K6" s="717"/>
      <c r="L6" s="717"/>
      <c r="M6" s="717" t="s">
        <v>194</v>
      </c>
      <c r="N6" s="717"/>
      <c r="O6" s="717"/>
      <c r="P6" s="717" t="s">
        <v>248</v>
      </c>
      <c r="Q6" s="717"/>
      <c r="R6" s="717"/>
      <c r="S6" s="717" t="s">
        <v>249</v>
      </c>
      <c r="T6" s="717"/>
      <c r="U6" s="717"/>
      <c r="V6" s="243" t="s">
        <v>195</v>
      </c>
      <c r="W6" s="243" t="s">
        <v>196</v>
      </c>
      <c r="X6" s="243" t="s">
        <v>197</v>
      </c>
      <c r="Y6" s="243" t="s">
        <v>198</v>
      </c>
      <c r="Z6" s="718" t="s">
        <v>199</v>
      </c>
      <c r="AB6" s="717" t="s">
        <v>337</v>
      </c>
    </row>
    <row r="7" spans="1:29">
      <c r="A7" s="236" t="s">
        <v>8</v>
      </c>
      <c r="B7" s="215" t="s">
        <v>85</v>
      </c>
      <c r="C7" s="720"/>
      <c r="D7" s="244" t="s">
        <v>200</v>
      </c>
      <c r="E7" s="244" t="s">
        <v>201</v>
      </c>
      <c r="F7" s="244" t="s">
        <v>202</v>
      </c>
      <c r="G7" s="244" t="s">
        <v>200</v>
      </c>
      <c r="H7" s="244" t="s">
        <v>201</v>
      </c>
      <c r="I7" s="244" t="s">
        <v>202</v>
      </c>
      <c r="J7" s="244" t="s">
        <v>200</v>
      </c>
      <c r="K7" s="244" t="s">
        <v>201</v>
      </c>
      <c r="L7" s="244" t="s">
        <v>202</v>
      </c>
      <c r="M7" s="244" t="s">
        <v>200</v>
      </c>
      <c r="N7" s="244" t="s">
        <v>201</v>
      </c>
      <c r="O7" s="244" t="s">
        <v>202</v>
      </c>
      <c r="P7" s="244" t="s">
        <v>200</v>
      </c>
      <c r="Q7" s="244" t="s">
        <v>201</v>
      </c>
      <c r="R7" s="244" t="s">
        <v>202</v>
      </c>
      <c r="S7" s="244" t="s">
        <v>200</v>
      </c>
      <c r="T7" s="244" t="s">
        <v>201</v>
      </c>
      <c r="U7" s="244" t="s">
        <v>202</v>
      </c>
      <c r="V7" s="244" t="s">
        <v>202</v>
      </c>
      <c r="W7" s="244" t="s">
        <v>202</v>
      </c>
      <c r="X7" s="244" t="s">
        <v>202</v>
      </c>
      <c r="Y7" s="244"/>
      <c r="Z7" s="719"/>
      <c r="AA7" s="193" t="s">
        <v>203</v>
      </c>
      <c r="AB7" s="720"/>
      <c r="AC7" s="193" t="s">
        <v>203</v>
      </c>
    </row>
    <row r="8" spans="1:29">
      <c r="A8" s="245" t="str">
        <f>A4</f>
        <v>MATERIAL RECEIVING LINK CORRIDOR</v>
      </c>
      <c r="B8" s="246" t="str">
        <f>B4</f>
        <v>E001</v>
      </c>
      <c r="C8" s="211">
        <f>'Design Criteria'!Q8</f>
        <v>22</v>
      </c>
      <c r="D8" s="211">
        <v>10</v>
      </c>
      <c r="E8" s="251">
        <f>E4</f>
        <v>238.5</v>
      </c>
      <c r="F8" s="239">
        <f>-$E$12*E8*(D8-C8)</f>
        <v>1024.0248375788324</v>
      </c>
      <c r="G8" s="211">
        <v>10</v>
      </c>
      <c r="H8" s="251">
        <f>H4</f>
        <v>140</v>
      </c>
      <c r="I8" s="239">
        <f>$E$17*H8*(C8-G8)</f>
        <v>533.40929280444959</v>
      </c>
      <c r="J8" s="211">
        <f>'Design Criteria'!$Q$46</f>
        <v>-5</v>
      </c>
      <c r="K8" s="251">
        <f>K4</f>
        <v>98.5</v>
      </c>
      <c r="L8" s="239">
        <f>$E$13*K8*(C8-J8)</f>
        <v>858.45355504085308</v>
      </c>
      <c r="M8" s="211">
        <f>'Design Criteria'!$Q$46</f>
        <v>-5</v>
      </c>
      <c r="N8" s="251">
        <f>N4</f>
        <v>277.90000000000003</v>
      </c>
      <c r="O8" s="239">
        <f>-$E$15*N8*(M8-C8)</f>
        <v>1820.9664447044011</v>
      </c>
      <c r="P8" s="211" t="s">
        <v>276</v>
      </c>
      <c r="Q8" s="238" t="s">
        <v>276</v>
      </c>
      <c r="R8" s="195">
        <v>0</v>
      </c>
      <c r="S8" s="242">
        <f>S4</f>
        <v>5</v>
      </c>
      <c r="T8" s="242">
        <f>T4</f>
        <v>26.25</v>
      </c>
      <c r="U8" s="239">
        <f>-$E$14*T8*(S8-C8)</f>
        <v>361.38140459363956</v>
      </c>
      <c r="V8" s="239">
        <v>0</v>
      </c>
      <c r="W8" s="239">
        <v>0</v>
      </c>
      <c r="X8" s="239">
        <v>0</v>
      </c>
      <c r="Y8" s="247">
        <f>Y4</f>
        <v>1</v>
      </c>
      <c r="Z8" s="281">
        <f>(F8+I8+O8+R8+U8+L8+V8+W8+X8)*Y8/1000</f>
        <v>4.5982355347221757</v>
      </c>
      <c r="AA8" s="334">
        <f>(Z8)/'Design Criteria'!$L$8*1000</f>
        <v>7.1406716899171911</v>
      </c>
      <c r="AB8" s="281">
        <f>Z8+B76/1000</f>
        <v>6.733119255652408</v>
      </c>
      <c r="AC8" s="334">
        <f>(AB8)/'Design Criteria'!$L$8*1000</f>
        <v>10.455965922280312</v>
      </c>
    </row>
    <row r="9" spans="1:29">
      <c r="A9" s="200"/>
      <c r="B9" s="200"/>
      <c r="C9" s="200"/>
      <c r="D9" s="200"/>
      <c r="E9" s="201"/>
      <c r="F9" s="202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</row>
    <row r="10" spans="1:29">
      <c r="A10" s="200"/>
      <c r="B10" s="200"/>
      <c r="C10" s="200"/>
      <c r="D10" s="248" t="s">
        <v>370</v>
      </c>
      <c r="E10" s="249">
        <v>0.25</v>
      </c>
      <c r="F10" s="202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</row>
    <row r="11" spans="1:29">
      <c r="A11" s="203"/>
      <c r="B11" s="203"/>
      <c r="C11" s="203"/>
      <c r="D11" s="204" t="s">
        <v>205</v>
      </c>
      <c r="E11" s="205" t="s">
        <v>206</v>
      </c>
      <c r="F11" s="202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</row>
    <row r="12" spans="1:29">
      <c r="A12" s="206" t="s">
        <v>207</v>
      </c>
      <c r="B12" s="206"/>
      <c r="C12" s="194"/>
      <c r="D12" s="331">
        <f>SUM(F20:F23)^-1</f>
        <v>0.28624034593398529</v>
      </c>
      <c r="E12" s="238">
        <f>D12*(1+$E$10)</f>
        <v>0.35780043241748161</v>
      </c>
    </row>
    <row r="13" spans="1:29">
      <c r="A13" s="206" t="s">
        <v>208</v>
      </c>
      <c r="B13" s="206"/>
      <c r="C13" s="194"/>
      <c r="D13" s="331">
        <f>SUM(F26:F29)^-1</f>
        <v>0.25823005979796293</v>
      </c>
      <c r="E13" s="238">
        <f t="shared" ref="E13:E17" si="0">D13*(1+$E$10)</f>
        <v>0.32278757474745368</v>
      </c>
    </row>
    <row r="14" spans="1:29">
      <c r="A14" s="206" t="s">
        <v>250</v>
      </c>
      <c r="B14" s="206"/>
      <c r="C14" s="194"/>
      <c r="D14" s="331">
        <f>SUM(F32:F36)^-1</f>
        <v>0.64785461887935392</v>
      </c>
      <c r="E14" s="238">
        <f t="shared" si="0"/>
        <v>0.80981827359919234</v>
      </c>
    </row>
    <row r="15" spans="1:29">
      <c r="A15" s="206" t="s">
        <v>209</v>
      </c>
      <c r="B15" s="206"/>
      <c r="C15" s="194"/>
      <c r="D15" s="331">
        <f>SUM(F39:F41)^-1</f>
        <v>0.19415099433096378</v>
      </c>
      <c r="E15" s="238">
        <f t="shared" si="0"/>
        <v>0.24268874291370474</v>
      </c>
    </row>
    <row r="16" spans="1:29">
      <c r="A16" s="206" t="s">
        <v>251</v>
      </c>
      <c r="B16" s="206"/>
      <c r="C16" s="194"/>
      <c r="D16" s="332">
        <v>3.2</v>
      </c>
      <c r="E16" s="238">
        <f t="shared" si="0"/>
        <v>4</v>
      </c>
    </row>
    <row r="17" spans="1:18">
      <c r="A17" s="206" t="s">
        <v>252</v>
      </c>
      <c r="B17" s="206"/>
      <c r="C17" s="194"/>
      <c r="D17" s="331">
        <f>SUM(F44:F47)^-1</f>
        <v>0.25400442514497595</v>
      </c>
      <c r="E17" s="238">
        <f t="shared" si="0"/>
        <v>0.31750553143121996</v>
      </c>
    </row>
    <row r="19" spans="1:18">
      <c r="A19" s="207" t="s">
        <v>253</v>
      </c>
      <c r="B19" s="207"/>
      <c r="C19" s="203" t="s">
        <v>210</v>
      </c>
      <c r="D19" s="203" t="s">
        <v>211</v>
      </c>
      <c r="E19" s="203" t="s">
        <v>212</v>
      </c>
      <c r="F19" s="208" t="s">
        <v>213</v>
      </c>
      <c r="G19" s="206"/>
      <c r="H19" s="203" t="s">
        <v>214</v>
      </c>
      <c r="I19" s="203" t="s">
        <v>215</v>
      </c>
      <c r="P19" s="200"/>
      <c r="Q19" s="200"/>
      <c r="R19" s="200"/>
    </row>
    <row r="20" spans="1:18" ht="16.8">
      <c r="A20" s="209" t="s">
        <v>216</v>
      </c>
      <c r="B20" s="209"/>
      <c r="C20" s="203"/>
      <c r="D20" s="203"/>
      <c r="E20" s="194">
        <v>9.3000000000000007</v>
      </c>
      <c r="F20" s="250">
        <f>1/E20</f>
        <v>0.1075268817204301</v>
      </c>
      <c r="G20" s="206"/>
      <c r="H20" s="196"/>
      <c r="I20" s="210"/>
      <c r="P20" s="200"/>
      <c r="Q20" s="200"/>
      <c r="R20" s="200"/>
    </row>
    <row r="21" spans="1:18">
      <c r="A21" s="206" t="s">
        <v>254</v>
      </c>
      <c r="B21" s="206"/>
      <c r="C21" s="278">
        <v>0.2</v>
      </c>
      <c r="D21" s="203">
        <v>3</v>
      </c>
      <c r="E21" s="251">
        <f>C21/(D21/1000)</f>
        <v>66.666666666666671</v>
      </c>
      <c r="F21" s="250">
        <f>1/E21</f>
        <v>1.4999999999999999E-2</v>
      </c>
      <c r="G21" s="206"/>
      <c r="H21" s="196"/>
      <c r="I21" s="210">
        <v>20</v>
      </c>
      <c r="P21" s="200"/>
      <c r="Q21" s="200"/>
      <c r="R21" s="200"/>
    </row>
    <row r="22" spans="1:18">
      <c r="A22" s="206" t="s">
        <v>219</v>
      </c>
      <c r="B22" s="206"/>
      <c r="C22" s="278">
        <v>0.85</v>
      </c>
      <c r="D22" s="203">
        <v>250</v>
      </c>
      <c r="E22" s="251">
        <f>C22/(D22/1000)</f>
        <v>3.4</v>
      </c>
      <c r="F22" s="250">
        <f>1/E22</f>
        <v>0.29411764705882354</v>
      </c>
      <c r="G22" s="206"/>
      <c r="H22" s="210">
        <v>2400</v>
      </c>
      <c r="I22" s="239">
        <f>H22*D22/1000</f>
        <v>600</v>
      </c>
      <c r="P22" s="200"/>
      <c r="Q22" s="200"/>
      <c r="R22" s="200"/>
    </row>
    <row r="23" spans="1:18">
      <c r="A23" s="206" t="s">
        <v>325</v>
      </c>
      <c r="B23" s="206"/>
      <c r="C23" s="278">
        <v>2.5999999999999999E-2</v>
      </c>
      <c r="D23" s="203">
        <v>80</v>
      </c>
      <c r="E23" s="251">
        <f>C23/(D23/1000)</f>
        <v>0.32499999999999996</v>
      </c>
      <c r="F23" s="250">
        <f>1/E23</f>
        <v>3.0769230769230775</v>
      </c>
      <c r="G23" s="206"/>
      <c r="H23" s="210"/>
      <c r="I23" s="239"/>
      <c r="P23" s="200"/>
      <c r="Q23" s="200"/>
      <c r="R23" s="200"/>
    </row>
    <row r="24" spans="1:18">
      <c r="C24" s="279"/>
      <c r="D24" s="200"/>
      <c r="E24" s="200"/>
      <c r="F24" s="200"/>
      <c r="G24" s="206"/>
      <c r="H24" s="210"/>
      <c r="I24" s="210"/>
      <c r="P24" s="200"/>
      <c r="Q24" s="200"/>
      <c r="R24" s="200"/>
    </row>
    <row r="25" spans="1:18">
      <c r="A25" s="207" t="s">
        <v>218</v>
      </c>
      <c r="B25" s="207"/>
      <c r="C25" s="278"/>
      <c r="D25" s="203"/>
      <c r="E25" s="203"/>
      <c r="F25" s="208"/>
      <c r="G25" s="206"/>
      <c r="H25" s="210"/>
      <c r="I25" s="210"/>
      <c r="P25" s="200"/>
      <c r="Q25" s="200"/>
      <c r="R25" s="200"/>
    </row>
    <row r="26" spans="1:18" ht="16.8">
      <c r="A26" s="209" t="s">
        <v>217</v>
      </c>
      <c r="B26" s="209"/>
      <c r="C26" s="278"/>
      <c r="D26" s="203"/>
      <c r="E26" s="194">
        <v>23.2</v>
      </c>
      <c r="F26" s="250">
        <f>1/E26</f>
        <v>4.3103448275862072E-2</v>
      </c>
      <c r="G26" s="206"/>
      <c r="H26" s="196"/>
      <c r="I26" s="210"/>
      <c r="P26" s="200"/>
      <c r="Q26" s="200"/>
      <c r="R26" s="200"/>
    </row>
    <row r="27" spans="1:18" ht="16.2">
      <c r="A27" s="206" t="s">
        <v>321</v>
      </c>
      <c r="B27" s="209"/>
      <c r="C27" s="203">
        <v>1.1000000000000001</v>
      </c>
      <c r="D27" s="203">
        <v>20</v>
      </c>
      <c r="E27" s="251">
        <f>C27/(D27/1000)</f>
        <v>55</v>
      </c>
      <c r="F27" s="250">
        <f t="shared" ref="F27:F28" si="1">1/E27</f>
        <v>1.8181818181818181E-2</v>
      </c>
      <c r="G27" s="206"/>
      <c r="H27" s="210">
        <v>2400</v>
      </c>
      <c r="I27" s="239">
        <f>H27*D27/1000</f>
        <v>48</v>
      </c>
      <c r="P27" s="200"/>
      <c r="Q27" s="200"/>
      <c r="R27" s="200"/>
    </row>
    <row r="28" spans="1:18">
      <c r="A28" s="206" t="s">
        <v>322</v>
      </c>
      <c r="B28" s="206"/>
      <c r="C28" s="278"/>
      <c r="D28" s="203">
        <v>80</v>
      </c>
      <c r="E28" s="251">
        <v>0.27</v>
      </c>
      <c r="F28" s="250">
        <f t="shared" si="1"/>
        <v>3.7037037037037033</v>
      </c>
      <c r="G28" s="206"/>
      <c r="H28" s="210"/>
      <c r="I28" s="239">
        <v>8.6</v>
      </c>
      <c r="P28" s="200"/>
      <c r="Q28" s="200"/>
      <c r="R28" s="200"/>
    </row>
    <row r="29" spans="1:18" ht="16.8">
      <c r="A29" s="209" t="s">
        <v>216</v>
      </c>
      <c r="B29" s="209"/>
      <c r="C29" s="203"/>
      <c r="D29" s="203"/>
      <c r="E29" s="194">
        <v>9.3000000000000007</v>
      </c>
      <c r="F29" s="250">
        <f>1/E29</f>
        <v>0.1075268817204301</v>
      </c>
      <c r="G29" s="206"/>
      <c r="H29" s="196"/>
      <c r="I29" s="210"/>
      <c r="P29" s="200"/>
      <c r="Q29" s="200"/>
      <c r="R29" s="200"/>
    </row>
    <row r="30" spans="1:18">
      <c r="F30" s="200"/>
      <c r="G30" s="206"/>
      <c r="H30" s="210"/>
      <c r="I30" s="239">
        <f>SUM(I26:I29)</f>
        <v>56.6</v>
      </c>
      <c r="P30" s="201"/>
      <c r="Q30" s="201"/>
      <c r="R30" s="201"/>
    </row>
    <row r="31" spans="1:18">
      <c r="A31" s="207" t="s">
        <v>255</v>
      </c>
      <c r="B31" s="207"/>
      <c r="C31" s="203"/>
      <c r="D31" s="203"/>
      <c r="E31" s="196"/>
      <c r="F31" s="208"/>
      <c r="G31" s="206"/>
      <c r="H31" s="210"/>
      <c r="I31" s="210"/>
      <c r="P31" s="200"/>
      <c r="Q31" s="200"/>
      <c r="R31" s="200"/>
    </row>
    <row r="32" spans="1:18" ht="16.8">
      <c r="A32" s="209" t="s">
        <v>216</v>
      </c>
      <c r="B32" s="209"/>
      <c r="C32" s="203"/>
      <c r="D32" s="203"/>
      <c r="E32" s="203">
        <v>9.3000000000000007</v>
      </c>
      <c r="F32" s="250">
        <f>1/E32</f>
        <v>0.1075268817204301</v>
      </c>
      <c r="G32" s="206"/>
      <c r="H32" s="196"/>
      <c r="I32" s="210"/>
      <c r="P32" s="200"/>
      <c r="Q32" s="200"/>
      <c r="R32" s="200"/>
    </row>
    <row r="33" spans="1:18" ht="16.2">
      <c r="A33" s="206" t="s">
        <v>323</v>
      </c>
      <c r="B33" s="209"/>
      <c r="C33" s="203">
        <v>0.23</v>
      </c>
      <c r="D33" s="203">
        <v>25</v>
      </c>
      <c r="E33" s="194">
        <f>C33/(D33/1000)</f>
        <v>9.1999999999999993</v>
      </c>
      <c r="F33" s="250">
        <f t="shared" ref="F33:F35" si="2">1/E33</f>
        <v>0.10869565217391305</v>
      </c>
      <c r="G33" s="206"/>
      <c r="H33" s="210">
        <v>840</v>
      </c>
      <c r="I33" s="239">
        <f>H33*D33/1000</f>
        <v>21</v>
      </c>
      <c r="P33" s="200"/>
      <c r="Q33" s="200"/>
      <c r="R33" s="200"/>
    </row>
    <row r="34" spans="1:18">
      <c r="A34" s="206" t="s">
        <v>324</v>
      </c>
      <c r="B34" s="206"/>
      <c r="C34" s="203">
        <v>4.4999999999999998E-2</v>
      </c>
      <c r="D34" s="203">
        <v>50</v>
      </c>
      <c r="E34" s="194">
        <f>C34/(D34/1000)</f>
        <v>0.89999999999999991</v>
      </c>
      <c r="F34" s="250">
        <f>1/E34</f>
        <v>1.1111111111111112</v>
      </c>
      <c r="G34" s="206"/>
      <c r="H34" s="210">
        <v>75</v>
      </c>
      <c r="I34" s="239">
        <f>H34*D34/1000</f>
        <v>3.75</v>
      </c>
      <c r="P34" s="200"/>
      <c r="Q34" s="200"/>
      <c r="R34" s="200"/>
    </row>
    <row r="35" spans="1:18" ht="16.2">
      <c r="A35" s="206" t="s">
        <v>323</v>
      </c>
      <c r="B35" s="209"/>
      <c r="C35" s="203">
        <v>0.23</v>
      </c>
      <c r="D35" s="203">
        <v>25</v>
      </c>
      <c r="E35" s="194">
        <f>C35/(D35/1000)</f>
        <v>9.1999999999999993</v>
      </c>
      <c r="F35" s="250">
        <f t="shared" si="2"/>
        <v>0.10869565217391305</v>
      </c>
      <c r="G35" s="206"/>
      <c r="H35" s="210">
        <v>840</v>
      </c>
      <c r="I35" s="239">
        <f>H35*D35/1000</f>
        <v>21</v>
      </c>
      <c r="P35" s="200"/>
      <c r="Q35" s="200"/>
      <c r="R35" s="200"/>
    </row>
    <row r="36" spans="1:18" ht="16.8">
      <c r="A36" s="209" t="s">
        <v>216</v>
      </c>
      <c r="B36" s="209"/>
      <c r="C36" s="203"/>
      <c r="D36" s="203"/>
      <c r="E36" s="203">
        <v>9.3000000000000007</v>
      </c>
      <c r="F36" s="250">
        <f>1/E36</f>
        <v>0.1075268817204301</v>
      </c>
      <c r="G36" s="206"/>
      <c r="H36" s="196"/>
      <c r="I36" s="210"/>
      <c r="P36" s="200"/>
      <c r="Q36" s="200"/>
      <c r="R36" s="200"/>
    </row>
    <row r="37" spans="1:18">
      <c r="G37" s="206"/>
      <c r="H37" s="210"/>
      <c r="I37" s="239">
        <f>SUM(I32:I36)</f>
        <v>45.75</v>
      </c>
      <c r="P37" s="201"/>
      <c r="Q37" s="201"/>
      <c r="R37" s="201"/>
    </row>
    <row r="38" spans="1:18">
      <c r="A38" s="207" t="s">
        <v>221</v>
      </c>
      <c r="B38" s="207"/>
      <c r="C38" s="203"/>
      <c r="D38" s="203"/>
      <c r="E38" s="196"/>
      <c r="F38" s="208"/>
      <c r="G38" s="206"/>
      <c r="H38" s="210"/>
      <c r="I38" s="210"/>
      <c r="P38" s="200"/>
      <c r="Q38" s="200"/>
      <c r="R38" s="200"/>
    </row>
    <row r="39" spans="1:18" ht="16.8">
      <c r="A39" s="209" t="s">
        <v>217</v>
      </c>
      <c r="B39" s="209"/>
      <c r="C39" s="203"/>
      <c r="D39" s="203"/>
      <c r="E39" s="333">
        <v>23.2</v>
      </c>
      <c r="F39" s="250">
        <f>1/E39</f>
        <v>4.3103448275862072E-2</v>
      </c>
      <c r="G39" s="206"/>
      <c r="H39" s="196"/>
      <c r="I39" s="210"/>
      <c r="P39" s="200"/>
      <c r="Q39" s="200"/>
      <c r="R39" s="200"/>
    </row>
    <row r="40" spans="1:18">
      <c r="A40" s="206" t="s">
        <v>222</v>
      </c>
      <c r="B40" s="206"/>
      <c r="C40" s="203">
        <v>7.0000000000000007E-2</v>
      </c>
      <c r="D40" s="203">
        <v>350</v>
      </c>
      <c r="E40" s="240">
        <f>C40/(D40/1000)</f>
        <v>0.20000000000000004</v>
      </c>
      <c r="F40" s="250">
        <f>1/E40</f>
        <v>4.9999999999999991</v>
      </c>
      <c r="G40" s="206"/>
      <c r="H40" s="210">
        <v>135</v>
      </c>
      <c r="I40" s="239">
        <f>H40*D40/1000</f>
        <v>47.25</v>
      </c>
      <c r="P40" s="200"/>
      <c r="Q40" s="200"/>
      <c r="R40" s="200"/>
    </row>
    <row r="41" spans="1:18" ht="16.8">
      <c r="A41" s="209" t="s">
        <v>216</v>
      </c>
      <c r="B41" s="209"/>
      <c r="C41" s="203"/>
      <c r="D41" s="203"/>
      <c r="E41" s="333">
        <v>9.3000000000000007</v>
      </c>
      <c r="F41" s="250">
        <f>1/E41</f>
        <v>0.1075268817204301</v>
      </c>
      <c r="G41" s="206"/>
      <c r="H41" s="196"/>
      <c r="I41" s="210"/>
      <c r="P41" s="200"/>
      <c r="Q41" s="200"/>
      <c r="R41" s="200"/>
    </row>
    <row r="42" spans="1:18">
      <c r="G42" s="206"/>
      <c r="H42" s="210"/>
      <c r="I42" s="239">
        <f>SUM(I39:I41)</f>
        <v>47.25</v>
      </c>
      <c r="P42" s="201"/>
      <c r="Q42" s="201"/>
      <c r="R42" s="201"/>
    </row>
    <row r="43" spans="1:18">
      <c r="A43" s="207" t="s">
        <v>223</v>
      </c>
      <c r="B43" s="207"/>
      <c r="C43" s="203"/>
      <c r="D43" s="203"/>
      <c r="E43" s="196"/>
      <c r="F43" s="208"/>
      <c r="G43" s="206"/>
      <c r="H43" s="210"/>
      <c r="I43" s="210"/>
      <c r="P43" s="200"/>
      <c r="Q43" s="200"/>
      <c r="R43" s="200"/>
    </row>
    <row r="44" spans="1:18" ht="16.8">
      <c r="A44" s="209" t="s">
        <v>216</v>
      </c>
      <c r="B44" s="209"/>
      <c r="C44" s="203"/>
      <c r="D44" s="203"/>
      <c r="E44" s="333">
        <v>9.3000000000000007</v>
      </c>
      <c r="F44" s="250">
        <f>1/E44</f>
        <v>0.1075268817204301</v>
      </c>
      <c r="G44" s="206"/>
      <c r="H44" s="210"/>
      <c r="I44" s="210"/>
      <c r="P44" s="200"/>
      <c r="Q44" s="200"/>
      <c r="R44" s="200"/>
    </row>
    <row r="45" spans="1:18" ht="16.2">
      <c r="A45" s="206" t="s">
        <v>321</v>
      </c>
      <c r="B45" s="209"/>
      <c r="C45" s="203">
        <v>1.1000000000000001</v>
      </c>
      <c r="D45" s="203">
        <v>20</v>
      </c>
      <c r="E45" s="240">
        <f>C45/(D45/1000)</f>
        <v>55</v>
      </c>
      <c r="F45" s="250">
        <f t="shared" ref="F45:F46" si="3">1/E45</f>
        <v>1.8181818181818181E-2</v>
      </c>
      <c r="G45" s="206"/>
      <c r="H45" s="210">
        <v>2400</v>
      </c>
      <c r="I45" s="239">
        <f>H45*D45/1000</f>
        <v>48</v>
      </c>
      <c r="P45" s="200"/>
      <c r="Q45" s="200"/>
      <c r="R45" s="200"/>
    </row>
    <row r="46" spans="1:18">
      <c r="A46" s="206" t="s">
        <v>322</v>
      </c>
      <c r="B46" s="206"/>
      <c r="C46" s="278"/>
      <c r="D46" s="203">
        <v>80</v>
      </c>
      <c r="E46" s="240">
        <v>0.27</v>
      </c>
      <c r="F46" s="250">
        <f t="shared" si="3"/>
        <v>3.7037037037037033</v>
      </c>
      <c r="G46" s="206"/>
      <c r="H46" s="210"/>
      <c r="I46" s="239">
        <v>8.6</v>
      </c>
      <c r="P46" s="200"/>
      <c r="Q46" s="200"/>
      <c r="R46" s="200"/>
    </row>
    <row r="47" spans="1:18" ht="16.8">
      <c r="A47" s="209" t="s">
        <v>216</v>
      </c>
      <c r="B47" s="209"/>
      <c r="C47" s="203"/>
      <c r="D47" s="203"/>
      <c r="E47" s="333">
        <v>9.3000000000000007</v>
      </c>
      <c r="F47" s="250">
        <f>1/E47</f>
        <v>0.1075268817204301</v>
      </c>
      <c r="G47" s="206"/>
      <c r="H47" s="210"/>
      <c r="I47" s="210"/>
      <c r="P47" s="200"/>
      <c r="Q47" s="200"/>
      <c r="R47" s="200"/>
    </row>
    <row r="49" spans="1:16">
      <c r="A49" s="212" t="s">
        <v>224</v>
      </c>
      <c r="B49" s="212"/>
      <c r="C49" s="252" t="s">
        <v>225</v>
      </c>
      <c r="D49" s="252" t="s">
        <v>226</v>
      </c>
      <c r="E49" s="252" t="s">
        <v>227</v>
      </c>
      <c r="F49" s="252" t="s">
        <v>256</v>
      </c>
      <c r="G49" s="252"/>
      <c r="H49" s="252" t="s">
        <v>257</v>
      </c>
      <c r="I49" s="252" t="s">
        <v>258</v>
      </c>
      <c r="J49" s="252"/>
      <c r="K49" s="252" t="s">
        <v>259</v>
      </c>
      <c r="L49" s="252" t="s">
        <v>260</v>
      </c>
      <c r="M49" s="252" t="s">
        <v>37</v>
      </c>
      <c r="N49" s="253" t="s">
        <v>30</v>
      </c>
      <c r="O49" s="253" t="s">
        <v>261</v>
      </c>
    </row>
    <row r="50" spans="1:16" ht="13.2" customHeight="1">
      <c r="A50" s="206" t="str">
        <f>A4</f>
        <v>MATERIAL RECEIVING LINK CORRIDOR</v>
      </c>
      <c r="B50" s="206" t="s">
        <v>220</v>
      </c>
      <c r="C50" s="254"/>
      <c r="D50" s="254"/>
      <c r="E50" s="255">
        <f>Q4</f>
        <v>0</v>
      </c>
      <c r="F50" s="256">
        <f>344/860*1000</f>
        <v>400</v>
      </c>
      <c r="G50" s="254"/>
      <c r="H50" s="257">
        <f>1+17%-5%</f>
        <v>1.1199999999999999</v>
      </c>
      <c r="I50" s="258">
        <v>0.54</v>
      </c>
      <c r="J50" s="254"/>
      <c r="K50" s="258">
        <v>0.64</v>
      </c>
      <c r="L50" s="256">
        <f>F50*H50*I50*K50</f>
        <v>154.8288</v>
      </c>
      <c r="M50" s="254">
        <f>L50*E50</f>
        <v>0</v>
      </c>
      <c r="N50" s="705" t="s">
        <v>300</v>
      </c>
      <c r="O50" s="706"/>
    </row>
    <row r="51" spans="1:16">
      <c r="A51" s="206"/>
      <c r="B51" s="206"/>
      <c r="C51" s="254"/>
      <c r="D51" s="254"/>
      <c r="E51" s="255"/>
      <c r="F51" s="256"/>
      <c r="G51" s="254"/>
      <c r="H51" s="257"/>
      <c r="I51" s="258"/>
      <c r="J51" s="254"/>
      <c r="K51" s="258"/>
      <c r="L51" s="256"/>
      <c r="M51" s="254"/>
      <c r="N51" s="705"/>
      <c r="O51" s="706"/>
    </row>
    <row r="52" spans="1:16">
      <c r="A52" s="206"/>
      <c r="B52" s="206"/>
      <c r="C52" s="254"/>
      <c r="D52" s="254"/>
      <c r="E52" s="255"/>
      <c r="F52" s="256"/>
      <c r="G52" s="254"/>
      <c r="H52" s="257"/>
      <c r="I52" s="258"/>
      <c r="J52" s="254"/>
      <c r="K52" s="258"/>
      <c r="L52" s="256"/>
      <c r="M52" s="254"/>
      <c r="N52" s="705"/>
      <c r="O52" s="706"/>
    </row>
    <row r="53" spans="1:16">
      <c r="A53" s="206"/>
      <c r="B53" s="206"/>
      <c r="C53" s="254"/>
      <c r="D53" s="254"/>
      <c r="E53" s="255"/>
      <c r="F53" s="256"/>
      <c r="G53" s="254"/>
      <c r="H53" s="257"/>
      <c r="I53" s="258"/>
      <c r="J53" s="254"/>
      <c r="K53" s="258"/>
      <c r="L53" s="256"/>
      <c r="M53" s="254"/>
      <c r="N53" s="705"/>
      <c r="O53" s="706"/>
    </row>
    <row r="54" spans="1:16">
      <c r="A54" s="206"/>
      <c r="B54" s="206"/>
      <c r="C54" s="254"/>
      <c r="D54" s="254"/>
      <c r="E54" s="255"/>
      <c r="F54" s="256"/>
      <c r="G54" s="254"/>
      <c r="H54" s="257"/>
      <c r="I54" s="258"/>
      <c r="J54" s="254"/>
      <c r="K54" s="258"/>
      <c r="L54" s="256"/>
      <c r="M54" s="254"/>
      <c r="N54" s="705"/>
      <c r="O54" s="706"/>
    </row>
    <row r="55" spans="1:16">
      <c r="A55" s="206"/>
      <c r="B55" s="206"/>
      <c r="C55" s="254"/>
      <c r="D55" s="254"/>
      <c r="E55" s="255"/>
      <c r="F55" s="256"/>
      <c r="G55" s="254"/>
      <c r="H55" s="257"/>
      <c r="I55" s="258"/>
      <c r="J55" s="254"/>
      <c r="K55" s="258"/>
      <c r="L55" s="256"/>
      <c r="M55" s="254"/>
      <c r="N55" s="705"/>
      <c r="O55" s="706"/>
    </row>
    <row r="56" spans="1:16">
      <c r="A56" s="206"/>
      <c r="B56" s="206"/>
      <c r="C56" s="254"/>
      <c r="D56" s="254"/>
      <c r="E56" s="255"/>
      <c r="F56" s="256"/>
      <c r="G56" s="254"/>
      <c r="H56" s="257"/>
      <c r="I56" s="258"/>
      <c r="J56" s="254"/>
      <c r="K56" s="258"/>
      <c r="L56" s="256"/>
      <c r="M56" s="254"/>
      <c r="N56" s="705"/>
      <c r="O56" s="706"/>
    </row>
    <row r="57" spans="1:16">
      <c r="I57" s="213"/>
      <c r="K57" s="213"/>
      <c r="L57" s="213"/>
      <c r="N57" s="213"/>
    </row>
    <row r="58" spans="1:16" ht="40.200000000000003">
      <c r="A58" s="259" t="s">
        <v>228</v>
      </c>
      <c r="B58" s="259"/>
      <c r="C58" s="206"/>
      <c r="D58" s="206"/>
      <c r="E58" s="260" t="s">
        <v>227</v>
      </c>
      <c r="F58" s="260" t="s">
        <v>229</v>
      </c>
      <c r="G58" s="261" t="s">
        <v>230</v>
      </c>
      <c r="H58" s="261" t="s">
        <v>231</v>
      </c>
      <c r="I58" s="261" t="s">
        <v>232</v>
      </c>
      <c r="J58" s="260"/>
      <c r="K58" s="261" t="s">
        <v>233</v>
      </c>
      <c r="L58" s="261" t="s">
        <v>234</v>
      </c>
      <c r="M58" s="261" t="s">
        <v>262</v>
      </c>
      <c r="N58" s="261" t="s">
        <v>235</v>
      </c>
      <c r="O58" s="261" t="s">
        <v>236</v>
      </c>
      <c r="P58" s="261" t="s">
        <v>37</v>
      </c>
    </row>
    <row r="59" spans="1:16" ht="26.4">
      <c r="A59" s="280" t="str">
        <f>A4</f>
        <v>MATERIAL RECEIVING LINK CORRIDOR</v>
      </c>
      <c r="B59" s="259"/>
      <c r="C59" s="206"/>
      <c r="D59" s="206"/>
      <c r="E59" s="260"/>
      <c r="F59" s="260"/>
      <c r="G59" s="261"/>
      <c r="H59" s="261"/>
      <c r="I59" s="261"/>
      <c r="J59" s="260"/>
      <c r="K59" s="261"/>
      <c r="L59" s="261"/>
      <c r="M59" s="261"/>
      <c r="N59" s="261"/>
      <c r="O59" s="261"/>
      <c r="P59" s="261"/>
    </row>
    <row r="60" spans="1:16">
      <c r="A60" s="206" t="s">
        <v>264</v>
      </c>
      <c r="B60" s="206"/>
      <c r="C60" s="206"/>
      <c r="D60" s="206"/>
      <c r="E60" s="255">
        <f>K4</f>
        <v>98.5</v>
      </c>
      <c r="F60" s="254">
        <v>0.8</v>
      </c>
      <c r="G60" s="254">
        <v>12.5</v>
      </c>
      <c r="H60" s="254">
        <v>23.6</v>
      </c>
      <c r="I60" s="254">
        <f>H60</f>
        <v>23.6</v>
      </c>
      <c r="J60" s="254"/>
      <c r="K60" s="263">
        <f>$E$13*E60*I60</f>
        <v>750.35199625793086</v>
      </c>
      <c r="L60" s="264">
        <f>I60+($M$4-$C$4)-(34-26)</f>
        <v>29.6</v>
      </c>
      <c r="M60" s="265">
        <v>10</v>
      </c>
      <c r="N60" s="264">
        <f>(11-M60)*0.5+L60</f>
        <v>30.1</v>
      </c>
      <c r="O60" s="264">
        <f>N60</f>
        <v>30.1</v>
      </c>
      <c r="P60" s="263">
        <f>$E$13*E60*O60</f>
        <v>957.01674098998808</v>
      </c>
    </row>
    <row r="61" spans="1:16">
      <c r="A61" s="206" t="s">
        <v>265</v>
      </c>
      <c r="B61" s="206"/>
      <c r="C61" s="206"/>
      <c r="D61" s="206"/>
      <c r="E61" s="255">
        <f>(3.4+4.4)*3.5</f>
        <v>27.300000000000004</v>
      </c>
      <c r="F61" s="254">
        <v>-1.4</v>
      </c>
      <c r="G61" s="265">
        <v>3</v>
      </c>
      <c r="H61" s="254">
        <v>16.399999999999999</v>
      </c>
      <c r="I61" s="254">
        <f t="shared" ref="I61:I64" si="4">H61</f>
        <v>16.399999999999999</v>
      </c>
      <c r="J61" s="254"/>
      <c r="K61" s="263">
        <f>$E$15*E61*I61</f>
        <v>108.6566039773239</v>
      </c>
      <c r="L61" s="264">
        <f t="shared" ref="L61:L64" si="5">I61+($M$4-$C$4)-(34-26)</f>
        <v>22.4</v>
      </c>
      <c r="M61" s="265">
        <v>10</v>
      </c>
      <c r="N61" s="264">
        <f t="shared" ref="N61:N64" si="6">(11-M61)*0.5+L61</f>
        <v>22.9</v>
      </c>
      <c r="O61" s="264">
        <f t="shared" ref="O61:O64" si="7">N61</f>
        <v>22.9</v>
      </c>
      <c r="P61" s="263">
        <f>$E$15*E61*O61</f>
        <v>151.7217214073608</v>
      </c>
    </row>
    <row r="62" spans="1:16">
      <c r="A62" s="206" t="s">
        <v>277</v>
      </c>
      <c r="B62" s="206"/>
      <c r="C62" s="206"/>
      <c r="D62" s="206"/>
      <c r="E62" s="255">
        <f>(36.7)*3.5</f>
        <v>128.45000000000002</v>
      </c>
      <c r="F62" s="254">
        <v>13.1</v>
      </c>
      <c r="G62" s="254">
        <v>8.1</v>
      </c>
      <c r="H62" s="254">
        <v>7.4</v>
      </c>
      <c r="I62" s="254">
        <f t="shared" si="4"/>
        <v>7.4</v>
      </c>
      <c r="J62" s="254"/>
      <c r="K62" s="263">
        <f t="shared" ref="K62:K64" si="8">$E$15*E62*I62</f>
        <v>230.6829308017638</v>
      </c>
      <c r="L62" s="264">
        <f t="shared" si="5"/>
        <v>13.399999999999999</v>
      </c>
      <c r="M62" s="265">
        <v>10</v>
      </c>
      <c r="N62" s="264">
        <f t="shared" si="6"/>
        <v>13.899999999999999</v>
      </c>
      <c r="O62" s="264">
        <f t="shared" si="7"/>
        <v>13.899999999999999</v>
      </c>
      <c r="P62" s="263">
        <f t="shared" ref="P62:P64" si="9">$E$15*E62*O62</f>
        <v>433.30982947898872</v>
      </c>
    </row>
    <row r="63" spans="1:16">
      <c r="A63" s="206" t="s">
        <v>327</v>
      </c>
      <c r="B63" s="206"/>
      <c r="C63" s="206"/>
      <c r="D63" s="206"/>
      <c r="E63" s="255">
        <f>(18.7+11.6)*3.5</f>
        <v>106.04999999999998</v>
      </c>
      <c r="F63" s="254">
        <v>-0.3</v>
      </c>
      <c r="G63" s="254">
        <v>4.2</v>
      </c>
      <c r="H63" s="254">
        <v>19.7</v>
      </c>
      <c r="I63" s="254">
        <f t="shared" si="4"/>
        <v>19.7</v>
      </c>
      <c r="J63" s="254"/>
      <c r="K63" s="263">
        <f t="shared" si="8"/>
        <v>507.0216813641681</v>
      </c>
      <c r="L63" s="264">
        <f t="shared" si="5"/>
        <v>25.700000000000003</v>
      </c>
      <c r="M63" s="265">
        <v>10</v>
      </c>
      <c r="N63" s="264">
        <f t="shared" si="6"/>
        <v>26.200000000000003</v>
      </c>
      <c r="O63" s="264">
        <f t="shared" si="7"/>
        <v>26.200000000000003</v>
      </c>
      <c r="P63" s="263">
        <f t="shared" si="9"/>
        <v>674.31309907315767</v>
      </c>
    </row>
    <row r="64" spans="1:16">
      <c r="A64" s="206" t="s">
        <v>328</v>
      </c>
      <c r="B64" s="206"/>
      <c r="C64" s="206"/>
      <c r="D64" s="206"/>
      <c r="E64" s="255">
        <f>(4.6)*3.5</f>
        <v>16.099999999999998</v>
      </c>
      <c r="F64" s="254">
        <v>10.8</v>
      </c>
      <c r="G64" s="254">
        <v>14.1</v>
      </c>
      <c r="H64" s="254">
        <v>7.4</v>
      </c>
      <c r="I64" s="254">
        <f t="shared" si="4"/>
        <v>7.4</v>
      </c>
      <c r="J64" s="254"/>
      <c r="K64" s="263">
        <f t="shared" si="8"/>
        <v>28.913936830738781</v>
      </c>
      <c r="L64" s="264">
        <f t="shared" si="5"/>
        <v>13.399999999999999</v>
      </c>
      <c r="M64" s="265">
        <v>10</v>
      </c>
      <c r="N64" s="264">
        <f t="shared" si="6"/>
        <v>13.899999999999999</v>
      </c>
      <c r="O64" s="264">
        <f t="shared" si="7"/>
        <v>13.899999999999999</v>
      </c>
      <c r="P64" s="263">
        <f t="shared" si="9"/>
        <v>54.311313776657975</v>
      </c>
    </row>
    <row r="65" spans="1:16">
      <c r="A65" s="206" t="s">
        <v>263</v>
      </c>
      <c r="B65" s="206"/>
      <c r="C65" s="206"/>
      <c r="D65" s="206"/>
      <c r="E65" s="266"/>
      <c r="F65" s="256">
        <f>$E$15*$E$61*F61+$E$15*$E$62*F62+$E$13*$E$60*F60+$E$15*$E$63*F63+$E$15*$E$64*F64</f>
        <v>459.00880765514944</v>
      </c>
      <c r="G65" s="256">
        <f>$E$15*$E$61*G61+$E$15*$E$62*G62+$E$13*$E$60*G60+$E$15*$E$63*G63+$E$15*$E$64*G64</f>
        <v>833.00146308331773</v>
      </c>
      <c r="H65" s="256">
        <f>$E$15*$E$61*H61+$E$15*$E$62*H62+$E$13*$E$60*H60+$E$15*$E$63*H63+$E$15*$E$64*H64</f>
        <v>1625.6271492319256</v>
      </c>
      <c r="I65" s="254"/>
      <c r="J65" s="254"/>
      <c r="K65" s="256">
        <f>SUM(K60:K64)</f>
        <v>1625.6271492319256</v>
      </c>
      <c r="L65" s="265"/>
      <c r="M65" s="265"/>
      <c r="N65" s="254"/>
      <c r="O65" s="265"/>
      <c r="P65" s="256">
        <f>SUM(P60:P64)</f>
        <v>2270.6727047261534</v>
      </c>
    </row>
    <row r="66" spans="1:16">
      <c r="A66" s="206"/>
      <c r="B66" s="206"/>
      <c r="C66" s="206"/>
      <c r="D66" s="206"/>
      <c r="E66" s="266"/>
      <c r="F66" s="267"/>
      <c r="G66" s="267"/>
      <c r="H66" s="267"/>
      <c r="I66" s="254"/>
      <c r="J66" s="254"/>
      <c r="K66" s="256"/>
      <c r="L66" s="265"/>
      <c r="M66" s="265"/>
      <c r="N66" s="254"/>
      <c r="O66" s="265"/>
      <c r="P66" s="256"/>
    </row>
    <row r="69" spans="1:16">
      <c r="A69" s="191" t="s">
        <v>329</v>
      </c>
    </row>
    <row r="70" spans="1:16">
      <c r="A70" s="191" t="s">
        <v>330</v>
      </c>
      <c r="B70" s="335">
        <v>5</v>
      </c>
    </row>
    <row r="71" spans="1:16">
      <c r="A71" s="191" t="s">
        <v>331</v>
      </c>
      <c r="B71" s="335">
        <v>50</v>
      </c>
    </row>
    <row r="72" spans="1:16">
      <c r="A72" s="191" t="s">
        <v>332</v>
      </c>
      <c r="B72" s="335">
        <f>1*1.2*2</f>
        <v>2.4</v>
      </c>
    </row>
    <row r="73" spans="1:16">
      <c r="A73" s="191" t="s">
        <v>333</v>
      </c>
      <c r="B73" s="335">
        <v>10</v>
      </c>
    </row>
    <row r="74" spans="1:16">
      <c r="A74" s="191" t="s">
        <v>334</v>
      </c>
      <c r="B74" s="335">
        <f>B72*B73*60</f>
        <v>1440</v>
      </c>
    </row>
    <row r="75" spans="1:16">
      <c r="A75" s="191" t="s">
        <v>335</v>
      </c>
      <c r="B75" s="335">
        <f>B74/4</f>
        <v>360</v>
      </c>
    </row>
    <row r="76" spans="1:16">
      <c r="A76" s="191" t="s">
        <v>336</v>
      </c>
      <c r="B76" s="335">
        <f>B75*(C8-B70)*0.3/0.86</f>
        <v>2134.8837209302328</v>
      </c>
    </row>
  </sheetData>
  <mergeCells count="23">
    <mergeCell ref="AB6:AB7"/>
    <mergeCell ref="A1:B2"/>
    <mergeCell ref="C1:Z1"/>
    <mergeCell ref="C2:C3"/>
    <mergeCell ref="D2:F2"/>
    <mergeCell ref="G2:I2"/>
    <mergeCell ref="J2:L2"/>
    <mergeCell ref="M2:O2"/>
    <mergeCell ref="P2:R2"/>
    <mergeCell ref="S2:U2"/>
    <mergeCell ref="Z2:Z3"/>
    <mergeCell ref="A5:B6"/>
    <mergeCell ref="C5:Z5"/>
    <mergeCell ref="C6:C7"/>
    <mergeCell ref="D6:F6"/>
    <mergeCell ref="G6:I6"/>
    <mergeCell ref="S6:U6"/>
    <mergeCell ref="Z6:Z7"/>
    <mergeCell ref="N50:N56"/>
    <mergeCell ref="O50:O56"/>
    <mergeCell ref="J6:L6"/>
    <mergeCell ref="M6:O6"/>
    <mergeCell ref="P6:R6"/>
  </mergeCells>
  <conditionalFormatting sqref="F65:H65">
    <cfRule type="colorScale" priority="8">
      <colorScale>
        <cfvo type="min"/>
        <cfvo type="max"/>
        <color rgb="FFFCFCFF"/>
        <color rgb="FFF8696B"/>
      </colorScale>
    </cfRule>
  </conditionalFormatting>
  <conditionalFormatting sqref="F66:H66">
    <cfRule type="colorScale" priority="45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P48"/>
  <sheetViews>
    <sheetView view="pageBreakPreview" topLeftCell="A22" zoomScale="115" zoomScaleNormal="100" zoomScaleSheetLayoutView="115" workbookViewId="0">
      <selection activeCell="F30" sqref="F30:J31"/>
    </sheetView>
  </sheetViews>
  <sheetFormatPr defaultColWidth="9.109375" defaultRowHeight="14.4"/>
  <cols>
    <col min="1" max="1" width="9.33203125" style="269" customWidth="1"/>
    <col min="2" max="2" width="14.109375" style="269" customWidth="1"/>
    <col min="3" max="3" width="5.6640625" style="269" customWidth="1"/>
    <col min="4" max="4" width="6.44140625" style="269" customWidth="1"/>
    <col min="5" max="5" width="9.33203125" style="269" customWidth="1"/>
    <col min="6" max="6" width="6.44140625" style="269" customWidth="1"/>
    <col min="7" max="7" width="11.33203125" style="269" customWidth="1"/>
    <col min="8" max="8" width="6.44140625" style="269" customWidth="1"/>
    <col min="9" max="9" width="10" style="269" customWidth="1"/>
    <col min="10" max="10" width="9.33203125" style="269" customWidth="1"/>
    <col min="11" max="16384" width="9.109375" style="269"/>
  </cols>
  <sheetData>
    <row r="1" spans="1:10" ht="15" customHeight="1">
      <c r="A1" s="268"/>
      <c r="B1" s="268"/>
      <c r="C1" s="268"/>
      <c r="D1" s="268"/>
      <c r="E1" s="268"/>
      <c r="F1" s="268"/>
      <c r="G1" s="268"/>
      <c r="H1" s="268"/>
      <c r="I1" s="268"/>
      <c r="J1" s="268"/>
    </row>
    <row r="2" spans="1:10" ht="15" customHeight="1">
      <c r="A2" s="268"/>
      <c r="B2" s="268"/>
      <c r="C2" s="268"/>
      <c r="D2" s="268"/>
      <c r="E2" s="268"/>
      <c r="F2" s="268"/>
      <c r="G2" s="268"/>
      <c r="H2" s="268"/>
      <c r="I2" s="268"/>
      <c r="J2" s="268"/>
    </row>
    <row r="3" spans="1:10" ht="15" customHeight="1">
      <c r="A3" s="268"/>
      <c r="B3" s="268"/>
      <c r="C3" s="268"/>
      <c r="D3" s="268"/>
      <c r="E3" s="268"/>
      <c r="F3" s="268"/>
      <c r="G3" s="268"/>
      <c r="H3" s="268"/>
      <c r="I3" s="268"/>
      <c r="J3" s="268"/>
    </row>
    <row r="4" spans="1:10" ht="15" customHeight="1">
      <c r="A4" s="268"/>
      <c r="B4" s="268"/>
      <c r="C4" s="268"/>
      <c r="D4" s="268"/>
      <c r="E4" s="268"/>
      <c r="F4" s="268"/>
      <c r="G4" s="268"/>
      <c r="H4" s="268"/>
      <c r="I4" s="268"/>
      <c r="J4" s="268"/>
    </row>
    <row r="5" spans="1:10" ht="15" customHeight="1">
      <c r="A5" s="268"/>
      <c r="B5" s="268"/>
      <c r="C5" s="268"/>
      <c r="D5" s="268"/>
      <c r="E5" s="268"/>
      <c r="F5" s="268"/>
      <c r="G5" s="268"/>
      <c r="H5" s="268"/>
      <c r="I5" s="268"/>
      <c r="J5" s="268"/>
    </row>
    <row r="6" spans="1:10" ht="15" customHeight="1">
      <c r="A6" s="268"/>
      <c r="B6" s="268"/>
      <c r="C6" s="268"/>
      <c r="D6" s="268"/>
      <c r="E6" s="268"/>
      <c r="F6" s="268"/>
      <c r="G6" s="268"/>
      <c r="H6" s="268"/>
      <c r="I6" s="268"/>
      <c r="J6" s="268"/>
    </row>
    <row r="7" spans="1:10" ht="15" customHeight="1">
      <c r="A7" s="268"/>
      <c r="B7" s="268"/>
      <c r="C7" s="268"/>
      <c r="D7" s="268"/>
      <c r="E7" s="268"/>
      <c r="F7" s="268"/>
      <c r="G7" s="268"/>
      <c r="H7" s="268"/>
      <c r="I7" s="268"/>
      <c r="J7" s="268"/>
    </row>
    <row r="8" spans="1:10" ht="15" customHeight="1">
      <c r="A8" s="268"/>
      <c r="B8" s="268"/>
      <c r="C8" s="268"/>
      <c r="D8" s="268"/>
      <c r="E8" s="268"/>
      <c r="F8" s="268"/>
      <c r="G8" s="268"/>
      <c r="H8" s="268"/>
      <c r="I8" s="268"/>
      <c r="J8" s="268"/>
    </row>
    <row r="9" spans="1:10" ht="15" customHeight="1">
      <c r="A9" s="268"/>
      <c r="B9" s="268"/>
      <c r="C9" s="268"/>
      <c r="D9" s="268"/>
      <c r="E9" s="268"/>
      <c r="F9" s="268"/>
      <c r="G9" s="268"/>
      <c r="H9" s="268"/>
      <c r="I9" s="268"/>
      <c r="J9" s="268"/>
    </row>
    <row r="10" spans="1:10" ht="15" customHeight="1">
      <c r="A10" s="268"/>
      <c r="B10" s="268"/>
      <c r="C10" s="268"/>
      <c r="D10" s="268"/>
      <c r="E10" s="268"/>
      <c r="F10" s="268"/>
      <c r="G10" s="268"/>
      <c r="H10" s="268"/>
      <c r="I10" s="268"/>
      <c r="J10" s="268"/>
    </row>
    <row r="11" spans="1:10" ht="15" customHeight="1">
      <c r="A11" s="268"/>
      <c r="B11" s="268"/>
      <c r="C11" s="268"/>
      <c r="D11" s="268"/>
      <c r="E11" s="268"/>
      <c r="F11" s="268"/>
      <c r="G11" s="268"/>
      <c r="H11" s="268"/>
      <c r="I11" s="268"/>
      <c r="J11" s="268"/>
    </row>
    <row r="12" spans="1:10" ht="15" customHeight="1">
      <c r="A12" s="268"/>
      <c r="B12" s="268"/>
      <c r="C12" s="268"/>
      <c r="D12" s="268"/>
      <c r="E12" s="268"/>
      <c r="F12" s="268"/>
      <c r="G12" s="268"/>
      <c r="H12" s="268"/>
      <c r="I12" s="268"/>
      <c r="J12" s="268"/>
    </row>
    <row r="13" spans="1:10" ht="15" customHeight="1">
      <c r="A13" s="268"/>
      <c r="B13" s="268"/>
      <c r="C13" s="268"/>
      <c r="D13" s="268"/>
      <c r="E13" s="268"/>
      <c r="F13" s="268"/>
      <c r="G13" s="268"/>
      <c r="H13" s="268"/>
      <c r="I13" s="268"/>
      <c r="J13" s="268"/>
    </row>
    <row r="14" spans="1:10" ht="15" customHeight="1">
      <c r="A14" s="268"/>
      <c r="B14" s="268"/>
      <c r="C14" s="268"/>
      <c r="D14" s="268"/>
      <c r="E14" s="268"/>
      <c r="F14" s="268"/>
      <c r="G14" s="268"/>
      <c r="H14" s="268"/>
      <c r="I14" s="268"/>
      <c r="J14" s="268"/>
    </row>
    <row r="15" spans="1:10" ht="16.5" customHeight="1">
      <c r="A15" s="268"/>
      <c r="B15" s="268"/>
      <c r="C15" s="268"/>
      <c r="D15" s="268"/>
      <c r="E15" s="268"/>
      <c r="F15" s="268"/>
      <c r="G15" s="268"/>
      <c r="H15" s="268"/>
      <c r="I15" s="268"/>
      <c r="J15" s="268"/>
    </row>
    <row r="16" spans="1:10" ht="16.5" customHeight="1">
      <c r="A16" s="268"/>
      <c r="B16" s="268"/>
      <c r="C16" s="268"/>
      <c r="D16" s="268"/>
      <c r="E16" s="268"/>
      <c r="F16" s="268"/>
      <c r="G16" s="268"/>
      <c r="H16" s="268"/>
      <c r="I16" s="268"/>
      <c r="J16" s="268"/>
    </row>
    <row r="17" spans="1:10" ht="16.5" customHeight="1">
      <c r="A17" s="268"/>
      <c r="B17" s="268"/>
      <c r="C17" s="268"/>
      <c r="D17" s="268"/>
      <c r="E17" s="268"/>
      <c r="F17" s="268"/>
      <c r="G17" s="268"/>
      <c r="H17" s="268"/>
      <c r="I17" s="268"/>
      <c r="J17" s="268"/>
    </row>
    <row r="18" spans="1:10" ht="16.5" customHeight="1">
      <c r="A18" s="268"/>
      <c r="B18" s="268"/>
      <c r="C18" s="268"/>
      <c r="D18" s="268"/>
      <c r="E18" s="268"/>
      <c r="F18" s="268"/>
      <c r="G18" s="268"/>
      <c r="H18" s="268"/>
      <c r="I18" s="268"/>
      <c r="J18" s="268"/>
    </row>
    <row r="19" spans="1:10" ht="16.5" customHeight="1">
      <c r="A19" s="268"/>
      <c r="B19" s="268"/>
      <c r="C19" s="268"/>
      <c r="D19" s="268"/>
      <c r="E19" s="268"/>
      <c r="F19" s="268"/>
      <c r="G19" s="268"/>
      <c r="H19" s="268"/>
      <c r="I19" s="268"/>
      <c r="J19" s="268"/>
    </row>
    <row r="20" spans="1:10" ht="16.5" customHeight="1">
      <c r="A20" s="268"/>
      <c r="B20" s="268"/>
      <c r="C20" s="268"/>
      <c r="D20" s="268"/>
      <c r="E20" s="268"/>
      <c r="F20" s="268"/>
      <c r="G20" s="268"/>
      <c r="H20" s="268"/>
      <c r="I20" s="268"/>
      <c r="J20" s="268"/>
    </row>
    <row r="21" spans="1:10" ht="16.5" customHeight="1">
      <c r="A21" s="268"/>
      <c r="B21" s="268"/>
      <c r="C21" s="268"/>
      <c r="D21" s="268"/>
      <c r="E21" s="268"/>
      <c r="F21" s="268"/>
      <c r="G21" s="268"/>
      <c r="H21" s="268"/>
      <c r="I21" s="268"/>
      <c r="J21" s="268"/>
    </row>
    <row r="22" spans="1:10" ht="16.5" customHeight="1">
      <c r="A22" s="268"/>
      <c r="B22" s="268"/>
      <c r="C22" s="268"/>
      <c r="D22" s="268"/>
      <c r="E22" s="268"/>
      <c r="F22" s="268"/>
      <c r="G22" s="268"/>
      <c r="H22" s="268"/>
      <c r="I22" s="268"/>
      <c r="J22" s="268"/>
    </row>
    <row r="23" spans="1:10" ht="16.5" customHeigh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</row>
    <row r="24" spans="1:10" ht="16.5" customHeight="1">
      <c r="A24" s="569" t="s">
        <v>141</v>
      </c>
      <c r="B24" s="570"/>
      <c r="C24" s="570"/>
      <c r="D24" s="570"/>
      <c r="E24" s="571"/>
      <c r="F24" s="569" t="s">
        <v>142</v>
      </c>
      <c r="G24" s="570"/>
      <c r="H24" s="570"/>
      <c r="I24" s="570"/>
      <c r="J24" s="571"/>
    </row>
    <row r="25" spans="1:10" ht="16.5" customHeight="1">
      <c r="A25" s="575" t="s">
        <v>273</v>
      </c>
      <c r="B25" s="576"/>
      <c r="C25" s="576"/>
      <c r="D25" s="576"/>
      <c r="E25" s="577"/>
      <c r="F25" s="575" t="s">
        <v>267</v>
      </c>
      <c r="G25" s="576"/>
      <c r="H25" s="576"/>
      <c r="I25" s="576"/>
      <c r="J25" s="577"/>
    </row>
    <row r="26" spans="1:10" ht="16.5" customHeight="1">
      <c r="A26" s="575"/>
      <c r="B26" s="576"/>
      <c r="C26" s="576"/>
      <c r="D26" s="576"/>
      <c r="E26" s="577"/>
      <c r="F26" s="575"/>
      <c r="G26" s="576"/>
      <c r="H26" s="576"/>
      <c r="I26" s="576"/>
      <c r="J26" s="577"/>
    </row>
    <row r="27" spans="1:10" ht="16.5" customHeight="1">
      <c r="A27" s="575"/>
      <c r="B27" s="576"/>
      <c r="C27" s="576"/>
      <c r="D27" s="576"/>
      <c r="E27" s="577"/>
      <c r="F27" s="575"/>
      <c r="G27" s="576"/>
      <c r="H27" s="576"/>
      <c r="I27" s="576"/>
      <c r="J27" s="577"/>
    </row>
    <row r="28" spans="1:10" ht="15" customHeight="1">
      <c r="A28" s="578"/>
      <c r="B28" s="579"/>
      <c r="C28" s="579"/>
      <c r="D28" s="579"/>
      <c r="E28" s="580"/>
      <c r="F28" s="578"/>
      <c r="G28" s="579"/>
      <c r="H28" s="579"/>
      <c r="I28" s="579"/>
      <c r="J28" s="580"/>
    </row>
    <row r="29" spans="1:10">
      <c r="A29" s="569" t="s">
        <v>143</v>
      </c>
      <c r="B29" s="570"/>
      <c r="C29" s="570"/>
      <c r="D29" s="570"/>
      <c r="E29" s="571"/>
      <c r="F29" s="569" t="s">
        <v>144</v>
      </c>
      <c r="G29" s="570"/>
      <c r="H29" s="570"/>
      <c r="I29" s="570"/>
      <c r="J29" s="571"/>
    </row>
    <row r="30" spans="1:10" ht="15" customHeight="1">
      <c r="A30" s="557" t="s">
        <v>316</v>
      </c>
      <c r="B30" s="558"/>
      <c r="C30" s="558"/>
      <c r="D30" s="558"/>
      <c r="E30" s="559"/>
      <c r="F30" s="563" t="s">
        <v>266</v>
      </c>
      <c r="G30" s="564"/>
      <c r="H30" s="564"/>
      <c r="I30" s="564"/>
      <c r="J30" s="565"/>
    </row>
    <row r="31" spans="1:10">
      <c r="A31" s="557"/>
      <c r="B31" s="558"/>
      <c r="C31" s="558"/>
      <c r="D31" s="558"/>
      <c r="E31" s="559"/>
      <c r="F31" s="566"/>
      <c r="G31" s="567"/>
      <c r="H31" s="567"/>
      <c r="I31" s="567"/>
      <c r="J31" s="568"/>
    </row>
    <row r="32" spans="1:10">
      <c r="A32" s="557"/>
      <c r="B32" s="558"/>
      <c r="C32" s="558"/>
      <c r="D32" s="558"/>
      <c r="E32" s="559"/>
      <c r="F32" s="569" t="s">
        <v>145</v>
      </c>
      <c r="G32" s="570"/>
      <c r="H32" s="570"/>
      <c r="I32" s="570"/>
      <c r="J32" s="571"/>
    </row>
    <row r="33" spans="1:16">
      <c r="A33" s="557"/>
      <c r="B33" s="558"/>
      <c r="C33" s="558"/>
      <c r="D33" s="558"/>
      <c r="E33" s="559"/>
      <c r="F33" s="563" t="s">
        <v>315</v>
      </c>
      <c r="G33" s="564"/>
      <c r="H33" s="564"/>
      <c r="I33" s="564"/>
      <c r="J33" s="565"/>
    </row>
    <row r="34" spans="1:16">
      <c r="A34" s="560"/>
      <c r="B34" s="561"/>
      <c r="C34" s="561"/>
      <c r="D34" s="561"/>
      <c r="E34" s="562"/>
      <c r="F34" s="566"/>
      <c r="G34" s="567"/>
      <c r="H34" s="567"/>
      <c r="I34" s="567"/>
      <c r="J34" s="568"/>
    </row>
    <row r="35" spans="1:16">
      <c r="A35" s="572" t="s">
        <v>146</v>
      </c>
      <c r="B35" s="573"/>
      <c r="C35" s="573"/>
      <c r="D35" s="573"/>
      <c r="E35" s="573"/>
      <c r="F35" s="573"/>
      <c r="G35" s="573"/>
      <c r="H35" s="573"/>
      <c r="I35" s="573"/>
      <c r="J35" s="574"/>
    </row>
    <row r="36" spans="1:16">
      <c r="A36" s="271" t="s">
        <v>238</v>
      </c>
      <c r="B36" s="272" t="s">
        <v>147</v>
      </c>
      <c r="C36" s="548" t="s">
        <v>500</v>
      </c>
      <c r="D36" s="548"/>
      <c r="E36" s="548"/>
      <c r="F36" s="548"/>
      <c r="G36" s="548"/>
      <c r="H36" s="548"/>
      <c r="I36" s="549"/>
      <c r="J36" s="273" t="s">
        <v>188</v>
      </c>
    </row>
    <row r="37" spans="1:16">
      <c r="A37" s="550" t="s">
        <v>148</v>
      </c>
      <c r="B37" s="272" t="s">
        <v>149</v>
      </c>
      <c r="C37" s="552" t="s">
        <v>306</v>
      </c>
      <c r="D37" s="552"/>
      <c r="E37" s="553"/>
      <c r="F37" s="272" t="s">
        <v>150</v>
      </c>
      <c r="G37" s="274">
        <v>45590</v>
      </c>
      <c r="H37" s="272" t="s">
        <v>151</v>
      </c>
      <c r="I37" s="270" t="s">
        <v>304</v>
      </c>
      <c r="J37" s="554">
        <v>3</v>
      </c>
      <c r="P37" s="275"/>
    </row>
    <row r="38" spans="1:16">
      <c r="A38" s="550"/>
      <c r="B38" s="272" t="s">
        <v>274</v>
      </c>
      <c r="C38" s="552" t="s">
        <v>306</v>
      </c>
      <c r="D38" s="552"/>
      <c r="E38" s="553"/>
      <c r="F38" s="272" t="s">
        <v>150</v>
      </c>
      <c r="G38" s="274">
        <v>45590</v>
      </c>
      <c r="H38" s="272" t="s">
        <v>151</v>
      </c>
      <c r="I38" s="270" t="s">
        <v>304</v>
      </c>
      <c r="J38" s="555"/>
      <c r="P38" s="275"/>
    </row>
    <row r="39" spans="1:16">
      <c r="A39" s="551"/>
      <c r="B39" s="272" t="s">
        <v>268</v>
      </c>
      <c r="C39" s="552" t="s">
        <v>307</v>
      </c>
      <c r="D39" s="552"/>
      <c r="E39" s="553"/>
      <c r="F39" s="272" t="s">
        <v>150</v>
      </c>
      <c r="G39" s="274">
        <v>45590</v>
      </c>
      <c r="H39" s="272" t="s">
        <v>151</v>
      </c>
      <c r="I39" s="270" t="s">
        <v>305</v>
      </c>
      <c r="J39" s="556"/>
    </row>
    <row r="40" spans="1:16">
      <c r="A40" s="271" t="s">
        <v>238</v>
      </c>
      <c r="B40" s="272" t="s">
        <v>147</v>
      </c>
      <c r="C40" s="548"/>
      <c r="D40" s="548"/>
      <c r="E40" s="548"/>
      <c r="F40" s="548"/>
      <c r="G40" s="548"/>
      <c r="H40" s="548"/>
      <c r="I40" s="549"/>
      <c r="J40" s="273" t="s">
        <v>188</v>
      </c>
    </row>
    <row r="41" spans="1:16">
      <c r="A41" s="550" t="s">
        <v>152</v>
      </c>
      <c r="B41" s="272" t="s">
        <v>149</v>
      </c>
      <c r="C41" s="552"/>
      <c r="D41" s="552"/>
      <c r="E41" s="553"/>
      <c r="F41" s="272" t="s">
        <v>150</v>
      </c>
      <c r="G41" s="274"/>
      <c r="H41" s="272" t="s">
        <v>151</v>
      </c>
      <c r="I41" s="270"/>
      <c r="J41" s="554"/>
    </row>
    <row r="42" spans="1:16">
      <c r="A42" s="550"/>
      <c r="B42" s="272" t="s">
        <v>274</v>
      </c>
      <c r="C42" s="552"/>
      <c r="D42" s="552"/>
      <c r="E42" s="553"/>
      <c r="F42" s="272" t="s">
        <v>150</v>
      </c>
      <c r="G42" s="274"/>
      <c r="H42" s="272" t="s">
        <v>151</v>
      </c>
      <c r="I42" s="270"/>
      <c r="J42" s="555"/>
      <c r="P42" s="275"/>
    </row>
    <row r="43" spans="1:16">
      <c r="A43" s="551"/>
      <c r="B43" s="272" t="s">
        <v>268</v>
      </c>
      <c r="C43" s="552"/>
      <c r="D43" s="552"/>
      <c r="E43" s="553"/>
      <c r="F43" s="272" t="s">
        <v>150</v>
      </c>
      <c r="G43" s="274"/>
      <c r="H43" s="272" t="s">
        <v>151</v>
      </c>
      <c r="I43" s="270"/>
      <c r="J43" s="556"/>
    </row>
    <row r="44" spans="1:16">
      <c r="A44" s="268"/>
      <c r="B44" s="268"/>
      <c r="C44" s="268"/>
      <c r="D44" s="268"/>
      <c r="E44" s="268"/>
      <c r="F44" s="268"/>
      <c r="G44" s="268"/>
      <c r="H44" s="268"/>
      <c r="I44" s="268"/>
      <c r="J44" s="268"/>
    </row>
    <row r="45" spans="1:16">
      <c r="A45" s="268"/>
      <c r="B45" s="268"/>
      <c r="C45" s="268"/>
      <c r="D45" s="268"/>
      <c r="E45" s="268"/>
      <c r="F45" s="268"/>
      <c r="G45" s="268"/>
      <c r="H45" s="268"/>
      <c r="I45" s="268"/>
      <c r="J45" s="268"/>
    </row>
    <row r="46" spans="1:16">
      <c r="A46" s="268"/>
      <c r="B46" s="268"/>
      <c r="C46" s="268"/>
      <c r="D46" s="268"/>
      <c r="E46" s="268"/>
      <c r="F46" s="268"/>
      <c r="G46" s="268"/>
      <c r="H46" s="268"/>
      <c r="I46" s="268"/>
      <c r="J46" s="268"/>
    </row>
    <row r="47" spans="1:16">
      <c r="A47" s="268"/>
      <c r="B47" s="268"/>
      <c r="C47" s="268"/>
      <c r="D47" s="268"/>
      <c r="E47" s="268"/>
      <c r="F47" s="268"/>
      <c r="G47" s="268"/>
      <c r="H47" s="268"/>
      <c r="I47" s="268"/>
      <c r="J47" s="268"/>
    </row>
    <row r="48" spans="1:16">
      <c r="A48" s="547" t="s">
        <v>269</v>
      </c>
      <c r="B48" s="547"/>
      <c r="C48" s="547"/>
      <c r="D48" s="547"/>
      <c r="E48" s="547"/>
      <c r="F48" s="547"/>
      <c r="G48" s="547"/>
      <c r="H48" s="547"/>
      <c r="I48" s="547"/>
      <c r="J48" s="547"/>
    </row>
  </sheetData>
  <mergeCells count="24">
    <mergeCell ref="C36:I36"/>
    <mergeCell ref="A24:E24"/>
    <mergeCell ref="F24:J24"/>
    <mergeCell ref="A25:E28"/>
    <mergeCell ref="F25:J28"/>
    <mergeCell ref="A29:E29"/>
    <mergeCell ref="F29:J29"/>
    <mergeCell ref="A30:E34"/>
    <mergeCell ref="F30:J31"/>
    <mergeCell ref="F32:J32"/>
    <mergeCell ref="F33:J34"/>
    <mergeCell ref="A35:J35"/>
    <mergeCell ref="A48:J48"/>
    <mergeCell ref="C42:E42"/>
    <mergeCell ref="J37:J39"/>
    <mergeCell ref="J41:J43"/>
    <mergeCell ref="A37:A39"/>
    <mergeCell ref="C37:E37"/>
    <mergeCell ref="C39:E39"/>
    <mergeCell ref="C40:I40"/>
    <mergeCell ref="A41:A43"/>
    <mergeCell ref="C41:E41"/>
    <mergeCell ref="C43:E43"/>
    <mergeCell ref="C38:E38"/>
  </mergeCells>
  <pageMargins left="0.7" right="0.7" top="0.75" bottom="0.75" header="0.3" footer="0.3"/>
  <pageSetup paperSize="9" fitToHeight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25601" r:id="rId4">
          <objectPr defaultSize="0" r:id="rId5">
            <anchor moveWithCells="1">
              <from>
                <xdr:col>0</xdr:col>
                <xdr:colOff>30480</xdr:colOff>
                <xdr:row>0</xdr:row>
                <xdr:rowOff>60960</xdr:rowOff>
              </from>
              <to>
                <xdr:col>9</xdr:col>
                <xdr:colOff>571500</xdr:colOff>
                <xdr:row>6</xdr:row>
                <xdr:rowOff>22860</xdr:rowOff>
              </to>
            </anchor>
          </objectPr>
        </oleObject>
      </mc:Choice>
      <mc:Fallback>
        <oleObject progId="Word.Document.8" shapeId="25601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K106"/>
  <sheetViews>
    <sheetView view="pageBreakPreview" topLeftCell="A82" zoomScaleNormal="85" zoomScaleSheetLayoutView="100" workbookViewId="0">
      <pane xSplit="2" topLeftCell="O1" activePane="topRight" state="frozenSplit"/>
      <selection activeCell="C46" sqref="C46:D46"/>
      <selection pane="topRight" activeCell="AD106" sqref="AD106"/>
    </sheetView>
  </sheetViews>
  <sheetFormatPr defaultColWidth="9.109375" defaultRowHeight="13.2"/>
  <cols>
    <col min="1" max="1" width="15.33203125" style="61" bestFit="1" customWidth="1"/>
    <col min="2" max="2" width="35.44140625" style="82" bestFit="1" customWidth="1"/>
    <col min="3" max="3" width="7.5546875" style="61" bestFit="1" customWidth="1"/>
    <col min="4" max="4" width="12.33203125" style="61" bestFit="1" customWidth="1"/>
    <col min="5" max="5" width="6.6640625" style="61" bestFit="1" customWidth="1"/>
    <col min="6" max="6" width="8.44140625" style="61" bestFit="1" customWidth="1"/>
    <col min="7" max="8" width="5.6640625" style="61" bestFit="1" customWidth="1"/>
    <col min="9" max="9" width="11" style="61" customWidth="1"/>
    <col min="10" max="10" width="11.6640625" style="61" bestFit="1" customWidth="1"/>
    <col min="11" max="11" width="11" style="61" bestFit="1" customWidth="1"/>
    <col min="12" max="12" width="12.5546875" style="61" bestFit="1" customWidth="1"/>
    <col min="13" max="13" width="9.33203125" style="61" bestFit="1" customWidth="1"/>
    <col min="14" max="14" width="10.44140625" style="61" bestFit="1" customWidth="1"/>
    <col min="15" max="15" width="9.6640625" style="61" bestFit="1" customWidth="1"/>
    <col min="16" max="16" width="10.109375" style="61" bestFit="1" customWidth="1"/>
    <col min="17" max="17" width="10.44140625" style="61" bestFit="1" customWidth="1"/>
    <col min="18" max="18" width="12.109375" style="61" bestFit="1" customWidth="1"/>
    <col min="19" max="19" width="11.88671875" style="61" bestFit="1" customWidth="1"/>
    <col min="20" max="20" width="11.88671875" style="61" customWidth="1"/>
    <col min="21" max="21" width="11.88671875" style="61" hidden="1" customWidth="1"/>
    <col min="22" max="22" width="12.109375" style="61" bestFit="1" customWidth="1"/>
    <col min="23" max="23" width="10.44140625" style="61" bestFit="1" customWidth="1"/>
    <col min="24" max="24" width="10.33203125" style="61" bestFit="1" customWidth="1"/>
    <col min="25" max="25" width="10.33203125" style="61" hidden="1" customWidth="1"/>
    <col min="26" max="26" width="10.33203125" style="61" bestFit="1" customWidth="1"/>
    <col min="27" max="27" width="11.44140625" style="61" bestFit="1" customWidth="1"/>
    <col min="28" max="28" width="16.5546875" style="61" bestFit="1" customWidth="1"/>
    <col min="29" max="30" width="11.88671875" style="61" customWidth="1"/>
    <col min="31" max="31" width="11.88671875" style="61" hidden="1" customWidth="1"/>
    <col min="32" max="32" width="45.109375" style="61" bestFit="1" customWidth="1"/>
    <col min="33" max="16384" width="9.109375" style="61"/>
  </cols>
  <sheetData>
    <row r="1" spans="1:34" ht="25.2" thickBot="1">
      <c r="A1" s="741" t="s">
        <v>362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5"/>
      <c r="T1" s="755"/>
      <c r="U1" s="755"/>
      <c r="V1" s="755"/>
      <c r="W1" s="755"/>
      <c r="X1" s="755"/>
      <c r="Y1" s="755"/>
      <c r="Z1" s="755"/>
      <c r="AA1" s="755"/>
      <c r="AB1" s="755"/>
      <c r="AC1" s="755"/>
      <c r="AD1" s="755"/>
      <c r="AE1" s="756"/>
      <c r="AF1" s="757"/>
    </row>
    <row r="2" spans="1:34" ht="12.75" customHeight="1">
      <c r="A2" s="745" t="s">
        <v>29</v>
      </c>
      <c r="B2" s="745" t="s">
        <v>8</v>
      </c>
      <c r="C2" s="746" t="s">
        <v>14</v>
      </c>
      <c r="D2" s="746" t="s">
        <v>52</v>
      </c>
      <c r="E2" s="748" t="s">
        <v>0</v>
      </c>
      <c r="F2" s="748" t="s">
        <v>1</v>
      </c>
      <c r="G2" s="750" t="s">
        <v>36</v>
      </c>
      <c r="H2" s="750" t="s">
        <v>35</v>
      </c>
      <c r="I2" s="746" t="s">
        <v>26</v>
      </c>
      <c r="J2" s="746" t="s">
        <v>25</v>
      </c>
      <c r="K2" s="752" t="s">
        <v>53</v>
      </c>
      <c r="L2" s="735" t="s">
        <v>31</v>
      </c>
      <c r="M2" s="735"/>
      <c r="N2" s="735"/>
      <c r="O2" s="735"/>
      <c r="P2" s="735"/>
      <c r="Q2" s="735"/>
      <c r="R2" s="735"/>
      <c r="S2" s="735"/>
      <c r="T2" s="735"/>
      <c r="U2" s="735"/>
      <c r="V2" s="735"/>
      <c r="W2" s="735"/>
      <c r="X2" s="754" t="s">
        <v>190</v>
      </c>
      <c r="Y2" s="153"/>
      <c r="Z2" s="735" t="s">
        <v>32</v>
      </c>
      <c r="AA2" s="735" t="s">
        <v>20</v>
      </c>
      <c r="AB2" s="735" t="s">
        <v>67</v>
      </c>
      <c r="AC2" s="735" t="s">
        <v>58</v>
      </c>
      <c r="AD2" s="735"/>
      <c r="AE2" s="153"/>
      <c r="AF2" s="721" t="s">
        <v>30</v>
      </c>
    </row>
    <row r="3" spans="1:34" ht="12.75" customHeight="1">
      <c r="A3" s="733"/>
      <c r="B3" s="733"/>
      <c r="C3" s="747"/>
      <c r="D3" s="747"/>
      <c r="E3" s="749"/>
      <c r="F3" s="749"/>
      <c r="G3" s="751"/>
      <c r="H3" s="751"/>
      <c r="I3" s="747"/>
      <c r="J3" s="747"/>
      <c r="K3" s="753"/>
      <c r="L3" s="732"/>
      <c r="M3" s="732"/>
      <c r="N3" s="732"/>
      <c r="O3" s="732"/>
      <c r="P3" s="732"/>
      <c r="Q3" s="732"/>
      <c r="R3" s="732"/>
      <c r="S3" s="732"/>
      <c r="T3" s="732"/>
      <c r="U3" s="732"/>
      <c r="V3" s="732"/>
      <c r="W3" s="732"/>
      <c r="X3" s="732"/>
      <c r="Y3" s="64"/>
      <c r="Z3" s="732"/>
      <c r="AA3" s="732"/>
      <c r="AB3" s="732"/>
      <c r="AC3" s="732"/>
      <c r="AD3" s="732"/>
      <c r="AE3" s="64"/>
      <c r="AF3" s="722"/>
    </row>
    <row r="4" spans="1:34">
      <c r="A4" s="733"/>
      <c r="B4" s="733"/>
      <c r="C4" s="747"/>
      <c r="D4" s="747"/>
      <c r="E4" s="749"/>
      <c r="F4" s="749"/>
      <c r="G4" s="751"/>
      <c r="H4" s="751"/>
      <c r="I4" s="747"/>
      <c r="J4" s="747"/>
      <c r="K4" s="753"/>
      <c r="L4" s="723" t="s">
        <v>15</v>
      </c>
      <c r="M4" s="723"/>
      <c r="N4" s="723"/>
      <c r="O4" s="723" t="s">
        <v>16</v>
      </c>
      <c r="P4" s="723"/>
      <c r="Q4" s="723"/>
      <c r="R4" s="732" t="s">
        <v>55</v>
      </c>
      <c r="S4" s="732" t="s">
        <v>56</v>
      </c>
      <c r="T4" s="732" t="s">
        <v>33</v>
      </c>
      <c r="U4" s="730" t="s">
        <v>181</v>
      </c>
      <c r="V4" s="732" t="s">
        <v>22</v>
      </c>
      <c r="W4" s="732" t="s">
        <v>57</v>
      </c>
      <c r="X4" s="732"/>
      <c r="Y4" s="730" t="s">
        <v>181</v>
      </c>
      <c r="Z4" s="732"/>
      <c r="AA4" s="732"/>
      <c r="AB4" s="732"/>
      <c r="AC4" s="734" t="s">
        <v>56</v>
      </c>
      <c r="AD4" s="732" t="s">
        <v>33</v>
      </c>
      <c r="AE4" s="730" t="s">
        <v>181</v>
      </c>
      <c r="AF4" s="722"/>
    </row>
    <row r="5" spans="1:34">
      <c r="A5" s="733"/>
      <c r="B5" s="733"/>
      <c r="C5" s="747"/>
      <c r="D5" s="747"/>
      <c r="E5" s="749"/>
      <c r="F5" s="749"/>
      <c r="G5" s="751"/>
      <c r="H5" s="751"/>
      <c r="I5" s="747"/>
      <c r="J5" s="747"/>
      <c r="K5" s="753"/>
      <c r="L5" s="63" t="s">
        <v>17</v>
      </c>
      <c r="M5" s="63" t="s">
        <v>18</v>
      </c>
      <c r="N5" s="64" t="s">
        <v>54</v>
      </c>
      <c r="O5" s="65" t="s">
        <v>17</v>
      </c>
      <c r="P5" s="65" t="s">
        <v>18</v>
      </c>
      <c r="Q5" s="65" t="s">
        <v>54</v>
      </c>
      <c r="R5" s="732"/>
      <c r="S5" s="733"/>
      <c r="T5" s="733"/>
      <c r="U5" s="731"/>
      <c r="V5" s="733"/>
      <c r="W5" s="733"/>
      <c r="X5" s="732"/>
      <c r="Y5" s="731"/>
      <c r="Z5" s="732"/>
      <c r="AA5" s="732"/>
      <c r="AB5" s="732"/>
      <c r="AC5" s="732"/>
      <c r="AD5" s="732"/>
      <c r="AE5" s="731"/>
      <c r="AF5" s="722"/>
    </row>
    <row r="6" spans="1:34">
      <c r="A6" s="733"/>
      <c r="B6" s="733"/>
      <c r="C6" s="747"/>
      <c r="D6" s="66" t="s">
        <v>19</v>
      </c>
      <c r="E6" s="67" t="s">
        <v>38</v>
      </c>
      <c r="F6" s="67" t="s">
        <v>39</v>
      </c>
      <c r="G6" s="67" t="s">
        <v>3</v>
      </c>
      <c r="H6" s="67" t="s">
        <v>3</v>
      </c>
      <c r="I6" s="66" t="s">
        <v>2</v>
      </c>
      <c r="J6" s="66" t="s">
        <v>2</v>
      </c>
      <c r="K6" s="68" t="s">
        <v>4</v>
      </c>
      <c r="L6" s="66" t="s">
        <v>3</v>
      </c>
      <c r="M6" s="66" t="s">
        <v>42</v>
      </c>
      <c r="N6" s="66" t="s">
        <v>19</v>
      </c>
      <c r="O6" s="65" t="s">
        <v>3</v>
      </c>
      <c r="P6" s="65" t="s">
        <v>42</v>
      </c>
      <c r="Q6" s="65" t="s">
        <v>19</v>
      </c>
      <c r="R6" s="66" t="s">
        <v>42</v>
      </c>
      <c r="S6" s="66" t="s">
        <v>42</v>
      </c>
      <c r="T6" s="66" t="s">
        <v>42</v>
      </c>
      <c r="U6" s="159" t="s">
        <v>42</v>
      </c>
      <c r="V6" s="66" t="s">
        <v>42</v>
      </c>
      <c r="W6" s="66" t="s">
        <v>19</v>
      </c>
      <c r="X6" s="66" t="s">
        <v>42</v>
      </c>
      <c r="Y6" s="159" t="s">
        <v>42</v>
      </c>
      <c r="Z6" s="66" t="s">
        <v>42</v>
      </c>
      <c r="AA6" s="66" t="s">
        <v>42</v>
      </c>
      <c r="AB6" s="66" t="s">
        <v>42</v>
      </c>
      <c r="AC6" s="66" t="s">
        <v>42</v>
      </c>
      <c r="AD6" s="66" t="s">
        <v>42</v>
      </c>
      <c r="AE6" s="159" t="s">
        <v>42</v>
      </c>
      <c r="AF6" s="722"/>
      <c r="AG6" s="106">
        <v>0.2</v>
      </c>
    </row>
    <row r="7" spans="1:34">
      <c r="A7" s="69" t="str">
        <f>'Design Criteria'!C8</f>
        <v>E001</v>
      </c>
      <c r="B7" s="70" t="str">
        <f>'Design Criteria'!D8</f>
        <v>MATERIAL RECEIVING LINK CORRIDOR</v>
      </c>
      <c r="C7" s="71" t="str">
        <f>'Design Criteria'!F8</f>
        <v>NC</v>
      </c>
      <c r="D7" s="71">
        <f>'Design Criteria'!I8</f>
        <v>6</v>
      </c>
      <c r="E7" s="105">
        <f>'Design Criteria'!J8</f>
        <v>238.5</v>
      </c>
      <c r="F7" s="105">
        <f>'Design Criteria'!L8</f>
        <v>643.95000000000005</v>
      </c>
      <c r="G7" s="105">
        <f>'Design Criteria'!M8</f>
        <v>22</v>
      </c>
      <c r="H7" s="105">
        <f>'Design Criteria'!Q8</f>
        <v>22</v>
      </c>
      <c r="I7" s="72">
        <f>'Design Criteria'!AA8</f>
        <v>9467.7749999999996</v>
      </c>
      <c r="J7" s="72">
        <f>'Design Criteria'!AB8</f>
        <v>6761.4750000000004</v>
      </c>
      <c r="K7" s="173">
        <v>0</v>
      </c>
      <c r="L7" s="133">
        <v>17</v>
      </c>
      <c r="M7" s="135">
        <f>PRODUCT(I7,0.86,1/0.3,1/(G7-L7))</f>
        <v>5428.1909999999998</v>
      </c>
      <c r="N7" s="134">
        <f>M7/F7</f>
        <v>8.4295224784532952</v>
      </c>
      <c r="O7" s="133">
        <v>25</v>
      </c>
      <c r="P7" s="134">
        <f>PRODUCT(J7,0.86,1/0.3,1/(O7-H7))</f>
        <v>6460.9650000000011</v>
      </c>
      <c r="Q7" s="134">
        <f>P7/F7</f>
        <v>10.033333333333335</v>
      </c>
      <c r="R7" s="135">
        <f t="shared" ref="R7" si="0">D7*F7</f>
        <v>3863.7000000000003</v>
      </c>
      <c r="S7" s="75">
        <f t="shared" ref="S7" si="1">MAXA(M7,P7)</f>
        <v>6460.9650000000011</v>
      </c>
      <c r="T7" s="136">
        <f>_xlfn.CEILING.MATH(MAX(R7:S7),10)</f>
        <v>6470</v>
      </c>
      <c r="U7" s="160">
        <f>_xlfn.CEILING.MATH(T7*(1+$AG$6),10)</f>
        <v>7770</v>
      </c>
      <c r="V7" s="74">
        <f t="shared" ref="V7" si="2">T7</f>
        <v>6470</v>
      </c>
      <c r="W7" s="73">
        <f t="shared" ref="W7" si="3">T7/F7</f>
        <v>10.047363925770634</v>
      </c>
      <c r="X7" s="136">
        <v>0</v>
      </c>
      <c r="Y7" s="160">
        <f t="shared" ref="Y7" si="4">_xlfn.CEILING.MATH(X7*(1+$AG$6),10)</f>
        <v>0</v>
      </c>
      <c r="Z7" s="74">
        <f t="shared" ref="Z7" si="5">V7-(T7-X7)</f>
        <v>0</v>
      </c>
      <c r="AA7" s="76">
        <v>0</v>
      </c>
      <c r="AB7" s="77">
        <v>0</v>
      </c>
      <c r="AC7" s="74">
        <f t="shared" ref="AC7" si="6">SUM(T7,-X7,AA7,-AB7)</f>
        <v>6470</v>
      </c>
      <c r="AD7" s="136">
        <f>_xlfn.CEILING.MATH(AC7,10)</f>
        <v>6470</v>
      </c>
      <c r="AE7" s="160">
        <f t="shared" ref="AE7" si="7">_xlfn.CEILING.MATH(AD7*(1+$AG$6),10)</f>
        <v>7770</v>
      </c>
      <c r="AF7" s="161"/>
    </row>
    <row r="8" spans="1:34">
      <c r="A8" s="736" t="s">
        <v>11</v>
      </c>
      <c r="B8" s="737"/>
      <c r="C8" s="78"/>
      <c r="D8" s="79"/>
      <c r="E8" s="81">
        <f>SUM(E7:E7)</f>
        <v>238.5</v>
      </c>
      <c r="F8" s="81">
        <f>SUM(F7:F7)</f>
        <v>643.95000000000005</v>
      </c>
      <c r="G8" s="80"/>
      <c r="H8" s="80"/>
      <c r="I8" s="80">
        <f>SUM(I7:I7)</f>
        <v>9467.7749999999996</v>
      </c>
      <c r="J8" s="80">
        <f>SUM(J7:J7)</f>
        <v>6761.4750000000004</v>
      </c>
      <c r="K8" s="80"/>
      <c r="L8" s="80"/>
      <c r="M8" s="80">
        <f>SUM(M7:M7)</f>
        <v>5428.1909999999998</v>
      </c>
      <c r="N8" s="80"/>
      <c r="O8" s="80"/>
      <c r="P8" s="80">
        <f>SUM(P7:P7)</f>
        <v>6460.9650000000011</v>
      </c>
      <c r="Q8" s="80"/>
      <c r="R8" s="80">
        <f>SUM(R7:R7)</f>
        <v>3863.7000000000003</v>
      </c>
      <c r="S8" s="80">
        <f>SUM(S7:S7)</f>
        <v>6460.9650000000011</v>
      </c>
      <c r="T8" s="80">
        <f>SUM(T7:T7)</f>
        <v>6470</v>
      </c>
      <c r="U8" s="80">
        <f>SUM(U7:U7)</f>
        <v>7770</v>
      </c>
      <c r="V8" s="80">
        <f>SUM(V7:V7)</f>
        <v>6470</v>
      </c>
      <c r="W8" s="81"/>
      <c r="X8" s="80">
        <f t="shared" ref="X8:AE8" si="8">SUM(X7:X7)</f>
        <v>0</v>
      </c>
      <c r="Y8" s="80">
        <f t="shared" si="8"/>
        <v>0</v>
      </c>
      <c r="Z8" s="80">
        <f t="shared" si="8"/>
        <v>0</v>
      </c>
      <c r="AA8" s="80">
        <f t="shared" si="8"/>
        <v>0</v>
      </c>
      <c r="AB8" s="80">
        <f t="shared" si="8"/>
        <v>0</v>
      </c>
      <c r="AC8" s="80">
        <f t="shared" si="8"/>
        <v>6470</v>
      </c>
      <c r="AD8" s="80">
        <f t="shared" si="8"/>
        <v>6470</v>
      </c>
      <c r="AE8" s="287">
        <f t="shared" si="8"/>
        <v>7770</v>
      </c>
      <c r="AF8" s="161"/>
    </row>
    <row r="9" spans="1:34" ht="12.75" customHeight="1" thickBot="1">
      <c r="G9" s="83"/>
      <c r="H9" s="84"/>
      <c r="S9" s="85"/>
    </row>
    <row r="10" spans="1:34" ht="15.75" customHeight="1">
      <c r="G10" s="84"/>
      <c r="H10" s="84"/>
      <c r="Q10" s="93"/>
      <c r="R10" s="116"/>
      <c r="S10" s="84"/>
      <c r="T10" s="738" t="s">
        <v>278</v>
      </c>
      <c r="U10" s="739"/>
      <c r="V10" s="740"/>
      <c r="W10" s="740"/>
      <c r="X10" s="740"/>
      <c r="Y10" s="740"/>
      <c r="Z10" s="740"/>
      <c r="AA10" s="740"/>
      <c r="AB10" s="87">
        <f>_xlfn.CEILING.MATH(T8*(1+$AG$6),100)</f>
        <v>7800</v>
      </c>
      <c r="AC10" s="88" t="s">
        <v>42</v>
      </c>
      <c r="AD10" s="116"/>
    </row>
    <row r="11" spans="1:34" ht="15.6">
      <c r="A11" s="111"/>
      <c r="G11" s="84"/>
      <c r="H11" s="84"/>
      <c r="N11" s="110"/>
      <c r="O11" s="22"/>
      <c r="S11" s="84"/>
      <c r="T11" s="724" t="s">
        <v>279</v>
      </c>
      <c r="U11" s="725"/>
      <c r="V11" s="726"/>
      <c r="W11" s="726"/>
      <c r="X11" s="726"/>
      <c r="Y11" s="726"/>
      <c r="Z11" s="726"/>
      <c r="AA11" s="726"/>
      <c r="AB11" s="162">
        <f>_xlfn.CEILING.MATH(AD8*(1+$AG$6),100)</f>
        <v>7800</v>
      </c>
      <c r="AC11" s="89" t="s">
        <v>42</v>
      </c>
      <c r="AD11" s="116"/>
      <c r="AF11" s="90"/>
      <c r="AG11" s="289">
        <f>(AB11-AB12)/AB10</f>
        <v>0.87179487179487181</v>
      </c>
      <c r="AH11" s="288" t="s">
        <v>288</v>
      </c>
    </row>
    <row r="12" spans="1:34" ht="15.6">
      <c r="G12" s="84"/>
      <c r="H12" s="84"/>
      <c r="N12" s="110"/>
      <c r="O12" s="112"/>
      <c r="S12" s="84"/>
      <c r="T12" s="724" t="s">
        <v>280</v>
      </c>
      <c r="U12" s="725"/>
      <c r="V12" s="726"/>
      <c r="W12" s="726"/>
      <c r="X12" s="726"/>
      <c r="Y12" s="726"/>
      <c r="Z12" s="726"/>
      <c r="AA12" s="726"/>
      <c r="AB12" s="162">
        <v>1000</v>
      </c>
      <c r="AC12" s="89" t="s">
        <v>42</v>
      </c>
      <c r="AD12" s="116"/>
      <c r="AF12" s="313"/>
      <c r="AG12" s="22">
        <f>_xlfn.CEILING.MATH(X8*(1+$AG$6),100)</f>
        <v>0</v>
      </c>
      <c r="AH12" s="288" t="s">
        <v>286</v>
      </c>
    </row>
    <row r="13" spans="1:34" ht="16.5" customHeight="1" thickBot="1">
      <c r="G13" s="84"/>
      <c r="H13" s="84"/>
      <c r="N13" s="110"/>
      <c r="O13" s="112"/>
      <c r="S13" s="84"/>
      <c r="T13" s="727" t="s">
        <v>281</v>
      </c>
      <c r="U13" s="728"/>
      <c r="V13" s="729"/>
      <c r="W13" s="729"/>
      <c r="X13" s="729"/>
      <c r="Y13" s="729"/>
      <c r="Z13" s="729"/>
      <c r="AA13" s="729"/>
      <c r="AB13" s="104">
        <f>AB10-AB11+AB12</f>
        <v>1000</v>
      </c>
      <c r="AC13" s="282" t="s">
        <v>42</v>
      </c>
      <c r="AD13" s="116"/>
      <c r="AG13" s="289">
        <f>AB13/AB10</f>
        <v>0.12820512820512819</v>
      </c>
      <c r="AH13" s="288" t="s">
        <v>287</v>
      </c>
    </row>
    <row r="14" spans="1:34">
      <c r="K14" s="62"/>
      <c r="N14" s="110"/>
      <c r="O14" s="112"/>
      <c r="S14" s="84"/>
      <c r="AC14" s="93"/>
    </row>
    <row r="15" spans="1:34" ht="13.8" thickBot="1"/>
    <row r="16" spans="1:34" ht="25.2" thickBot="1">
      <c r="A16" s="741" t="s">
        <v>363</v>
      </c>
      <c r="B16" s="755"/>
      <c r="C16" s="755"/>
      <c r="D16" s="755"/>
      <c r="E16" s="755"/>
      <c r="F16" s="755"/>
      <c r="G16" s="755"/>
      <c r="H16" s="755"/>
      <c r="I16" s="755"/>
      <c r="J16" s="755"/>
      <c r="K16" s="755"/>
      <c r="L16" s="755"/>
      <c r="M16" s="755"/>
      <c r="N16" s="755"/>
      <c r="O16" s="755"/>
      <c r="P16" s="755"/>
      <c r="Q16" s="755"/>
      <c r="R16" s="755"/>
      <c r="S16" s="755"/>
      <c r="T16" s="755"/>
      <c r="U16" s="755"/>
      <c r="V16" s="755"/>
      <c r="W16" s="755"/>
      <c r="X16" s="755"/>
      <c r="Y16" s="755"/>
      <c r="Z16" s="755"/>
      <c r="AA16" s="755"/>
      <c r="AB16" s="755"/>
      <c r="AC16" s="755"/>
      <c r="AD16" s="755"/>
      <c r="AE16" s="756"/>
      <c r="AF16" s="757"/>
    </row>
    <row r="17" spans="1:35" ht="12.75" customHeight="1">
      <c r="A17" s="745" t="s">
        <v>29</v>
      </c>
      <c r="B17" s="745" t="s">
        <v>8</v>
      </c>
      <c r="C17" s="746" t="s">
        <v>14</v>
      </c>
      <c r="D17" s="746" t="s">
        <v>52</v>
      </c>
      <c r="E17" s="748" t="s">
        <v>0</v>
      </c>
      <c r="F17" s="748" t="s">
        <v>1</v>
      </c>
      <c r="G17" s="750" t="s">
        <v>36</v>
      </c>
      <c r="H17" s="750" t="s">
        <v>35</v>
      </c>
      <c r="I17" s="746" t="s">
        <v>26</v>
      </c>
      <c r="J17" s="746" t="s">
        <v>25</v>
      </c>
      <c r="K17" s="752" t="s">
        <v>53</v>
      </c>
      <c r="L17" s="735" t="s">
        <v>31</v>
      </c>
      <c r="M17" s="735"/>
      <c r="N17" s="735"/>
      <c r="O17" s="735"/>
      <c r="P17" s="735"/>
      <c r="Q17" s="735"/>
      <c r="R17" s="735"/>
      <c r="S17" s="735"/>
      <c r="T17" s="735"/>
      <c r="U17" s="735"/>
      <c r="V17" s="735"/>
      <c r="W17" s="735"/>
      <c r="X17" s="754" t="s">
        <v>190</v>
      </c>
      <c r="Y17" s="153"/>
      <c r="Z17" s="735" t="s">
        <v>32</v>
      </c>
      <c r="AA17" s="735" t="s">
        <v>20</v>
      </c>
      <c r="AB17" s="735" t="s">
        <v>67</v>
      </c>
      <c r="AC17" s="735" t="s">
        <v>58</v>
      </c>
      <c r="AD17" s="735"/>
      <c r="AE17" s="153"/>
      <c r="AF17" s="721" t="s">
        <v>30</v>
      </c>
    </row>
    <row r="18" spans="1:35" ht="12.75" customHeight="1">
      <c r="A18" s="733"/>
      <c r="B18" s="733"/>
      <c r="C18" s="747"/>
      <c r="D18" s="747"/>
      <c r="E18" s="749"/>
      <c r="F18" s="749"/>
      <c r="G18" s="751"/>
      <c r="H18" s="751"/>
      <c r="I18" s="747"/>
      <c r="J18" s="747"/>
      <c r="K18" s="753"/>
      <c r="L18" s="732"/>
      <c r="M18" s="732"/>
      <c r="N18" s="732"/>
      <c r="O18" s="732"/>
      <c r="P18" s="732"/>
      <c r="Q18" s="732"/>
      <c r="R18" s="732"/>
      <c r="S18" s="732"/>
      <c r="T18" s="732"/>
      <c r="U18" s="732"/>
      <c r="V18" s="732"/>
      <c r="W18" s="732"/>
      <c r="X18" s="732"/>
      <c r="Y18" s="64"/>
      <c r="Z18" s="732"/>
      <c r="AA18" s="732"/>
      <c r="AB18" s="732"/>
      <c r="AC18" s="732"/>
      <c r="AD18" s="732"/>
      <c r="AE18" s="64"/>
      <c r="AF18" s="722"/>
    </row>
    <row r="19" spans="1:35">
      <c r="A19" s="733"/>
      <c r="B19" s="733"/>
      <c r="C19" s="747"/>
      <c r="D19" s="747"/>
      <c r="E19" s="749"/>
      <c r="F19" s="749"/>
      <c r="G19" s="751"/>
      <c r="H19" s="751"/>
      <c r="I19" s="747"/>
      <c r="J19" s="747"/>
      <c r="K19" s="753"/>
      <c r="L19" s="723" t="s">
        <v>15</v>
      </c>
      <c r="M19" s="723"/>
      <c r="N19" s="723"/>
      <c r="O19" s="723" t="s">
        <v>16</v>
      </c>
      <c r="P19" s="723"/>
      <c r="Q19" s="723"/>
      <c r="R19" s="732" t="s">
        <v>55</v>
      </c>
      <c r="S19" s="732" t="s">
        <v>56</v>
      </c>
      <c r="T19" s="732" t="s">
        <v>33</v>
      </c>
      <c r="U19" s="730" t="s">
        <v>181</v>
      </c>
      <c r="V19" s="732" t="s">
        <v>22</v>
      </c>
      <c r="W19" s="732" t="s">
        <v>57</v>
      </c>
      <c r="X19" s="732"/>
      <c r="Y19" s="730" t="s">
        <v>181</v>
      </c>
      <c r="Z19" s="732"/>
      <c r="AA19" s="732"/>
      <c r="AB19" s="732"/>
      <c r="AC19" s="734" t="s">
        <v>56</v>
      </c>
      <c r="AD19" s="732" t="s">
        <v>33</v>
      </c>
      <c r="AE19" s="730" t="s">
        <v>181</v>
      </c>
      <c r="AF19" s="722"/>
    </row>
    <row r="20" spans="1:35">
      <c r="A20" s="733"/>
      <c r="B20" s="733"/>
      <c r="C20" s="747"/>
      <c r="D20" s="747"/>
      <c r="E20" s="749"/>
      <c r="F20" s="749"/>
      <c r="G20" s="751"/>
      <c r="H20" s="751"/>
      <c r="I20" s="747"/>
      <c r="J20" s="747"/>
      <c r="K20" s="753"/>
      <c r="L20" s="63" t="s">
        <v>17</v>
      </c>
      <c r="M20" s="63" t="s">
        <v>18</v>
      </c>
      <c r="N20" s="64" t="s">
        <v>54</v>
      </c>
      <c r="O20" s="65" t="s">
        <v>17</v>
      </c>
      <c r="P20" s="65" t="s">
        <v>18</v>
      </c>
      <c r="Q20" s="65" t="s">
        <v>54</v>
      </c>
      <c r="R20" s="732"/>
      <c r="S20" s="733"/>
      <c r="T20" s="733"/>
      <c r="U20" s="731"/>
      <c r="V20" s="733"/>
      <c r="W20" s="733"/>
      <c r="X20" s="732"/>
      <c r="Y20" s="731"/>
      <c r="Z20" s="732"/>
      <c r="AA20" s="732"/>
      <c r="AB20" s="732"/>
      <c r="AC20" s="732"/>
      <c r="AD20" s="732"/>
      <c r="AE20" s="731"/>
      <c r="AF20" s="722"/>
    </row>
    <row r="21" spans="1:35">
      <c r="A21" s="733"/>
      <c r="B21" s="733"/>
      <c r="C21" s="747"/>
      <c r="D21" s="66" t="s">
        <v>19</v>
      </c>
      <c r="E21" s="67" t="s">
        <v>38</v>
      </c>
      <c r="F21" s="67" t="s">
        <v>39</v>
      </c>
      <c r="G21" s="67" t="s">
        <v>3</v>
      </c>
      <c r="H21" s="67" t="s">
        <v>3</v>
      </c>
      <c r="I21" s="66" t="s">
        <v>2</v>
      </c>
      <c r="J21" s="66" t="s">
        <v>2</v>
      </c>
      <c r="K21" s="68" t="s">
        <v>4</v>
      </c>
      <c r="L21" s="66" t="s">
        <v>3</v>
      </c>
      <c r="M21" s="66" t="s">
        <v>42</v>
      </c>
      <c r="N21" s="66" t="s">
        <v>19</v>
      </c>
      <c r="O21" s="65" t="s">
        <v>3</v>
      </c>
      <c r="P21" s="65" t="s">
        <v>42</v>
      </c>
      <c r="Q21" s="65" t="s">
        <v>19</v>
      </c>
      <c r="R21" s="66" t="s">
        <v>42</v>
      </c>
      <c r="S21" s="66" t="s">
        <v>42</v>
      </c>
      <c r="T21" s="66" t="s">
        <v>42</v>
      </c>
      <c r="U21" s="159" t="s">
        <v>42</v>
      </c>
      <c r="V21" s="66" t="s">
        <v>42</v>
      </c>
      <c r="W21" s="66" t="s">
        <v>19</v>
      </c>
      <c r="X21" s="66" t="s">
        <v>42</v>
      </c>
      <c r="Y21" s="159" t="s">
        <v>42</v>
      </c>
      <c r="Z21" s="66" t="s">
        <v>42</v>
      </c>
      <c r="AA21" s="66" t="s">
        <v>42</v>
      </c>
      <c r="AB21" s="66" t="s">
        <v>42</v>
      </c>
      <c r="AC21" s="66" t="s">
        <v>42</v>
      </c>
      <c r="AD21" s="66" t="s">
        <v>42</v>
      </c>
      <c r="AE21" s="159" t="s">
        <v>42</v>
      </c>
      <c r="AF21" s="722"/>
      <c r="AG21" s="106">
        <v>0.2</v>
      </c>
    </row>
    <row r="22" spans="1:35">
      <c r="A22" s="69" t="str">
        <f>'Design Criteria'!C10</f>
        <v>A001</v>
      </c>
      <c r="B22" s="433" t="str">
        <f>'Design Criteria'!D10</f>
        <v>ENTRANCE</v>
      </c>
      <c r="C22" s="71" t="str">
        <f>'Design Criteria'!F10</f>
        <v>NC</v>
      </c>
      <c r="D22" s="284">
        <f>'Design Criteria'!I10</f>
        <v>3</v>
      </c>
      <c r="E22" s="105">
        <f>'Design Criteria'!J10</f>
        <v>18.510000000000002</v>
      </c>
      <c r="F22" s="105">
        <f>'Design Criteria'!L10</f>
        <v>96.25200000000001</v>
      </c>
      <c r="G22" s="105">
        <f>'Design Criteria'!M10</f>
        <v>22</v>
      </c>
      <c r="H22" s="105">
        <f>'Design Criteria'!Q10</f>
        <v>22</v>
      </c>
      <c r="I22" s="72">
        <f>'Design Criteria'!AA10</f>
        <v>466.45200000000006</v>
      </c>
      <c r="J22" s="72">
        <f>'Design Criteria'!AB10</f>
        <v>577.51200000000006</v>
      </c>
      <c r="K22" s="173">
        <v>0</v>
      </c>
      <c r="L22" s="133">
        <v>18</v>
      </c>
      <c r="M22" s="135">
        <f t="shared" ref="M22:M25" si="9">PRODUCT(I22,0.86,1/0.3,1/(G22-L22))</f>
        <v>334.29060000000004</v>
      </c>
      <c r="N22" s="134">
        <f t="shared" ref="N22:N25" si="10">M22/F22</f>
        <v>3.4730769230769232</v>
      </c>
      <c r="O22" s="133">
        <v>25</v>
      </c>
      <c r="P22" s="135">
        <f t="shared" ref="P22:P25" si="11">PRODUCT(J22,0.86,1/0.3,1/(O22-H22))</f>
        <v>551.84480000000008</v>
      </c>
      <c r="Q22" s="134">
        <f t="shared" ref="Q22:Q25" si="12">P22/F22</f>
        <v>5.7333333333333334</v>
      </c>
      <c r="R22" s="135">
        <f t="shared" ref="R22:R25" si="13">D22*F22</f>
        <v>288.75600000000003</v>
      </c>
      <c r="S22" s="75">
        <f t="shared" ref="S22:S25" si="14">MAXA(M22,P22)</f>
        <v>551.84480000000008</v>
      </c>
      <c r="T22" s="136">
        <f t="shared" ref="T22:T25" si="15">_xlfn.CEILING.MATH(MAX(R22:S22),10)</f>
        <v>560</v>
      </c>
      <c r="U22" s="160">
        <f t="shared" ref="U22:U25" si="16">_xlfn.CEILING.MATH(T22*(1+$AG$6),10)</f>
        <v>680</v>
      </c>
      <c r="V22" s="74">
        <f t="shared" ref="V22:V25" si="17">T22</f>
        <v>560</v>
      </c>
      <c r="W22" s="73">
        <f t="shared" ref="W22:W25" si="18">T22/F22</f>
        <v>5.8180609234093827</v>
      </c>
      <c r="X22" s="136">
        <v>0</v>
      </c>
      <c r="Y22" s="160">
        <f t="shared" ref="Y22:Y25" si="19">_xlfn.CEILING.MATH(X22*(1+$AG$6),10)</f>
        <v>0</v>
      </c>
      <c r="Z22" s="74">
        <f t="shared" ref="Z22:Z25" si="20">V22-(T22-X22)</f>
        <v>0</v>
      </c>
      <c r="AA22" s="76">
        <f>-SUM('PerditeAria(NO PLOT)'!F141:F143)</f>
        <v>0</v>
      </c>
      <c r="AB22" s="77">
        <f>'PerditeAria(NO PLOT)'!F177</f>
        <v>0</v>
      </c>
      <c r="AC22" s="74">
        <f t="shared" ref="AC22:AC25" si="21">SUM(T22,-X22,AA22,-AB22)</f>
        <v>560</v>
      </c>
      <c r="AD22" s="136">
        <f t="shared" ref="AD22:AD25" si="22">_xlfn.CEILING.MATH(AC22,10)</f>
        <v>560</v>
      </c>
      <c r="AE22" s="160">
        <f t="shared" ref="AE22:AE25" si="23">_xlfn.CEILING.MATH(AD22*(1+$AG$6),10)</f>
        <v>680</v>
      </c>
      <c r="AF22" s="161"/>
      <c r="AH22" s="111"/>
      <c r="AI22" s="111"/>
    </row>
    <row r="23" spans="1:35" ht="14.4">
      <c r="A23" s="69" t="str">
        <f>'Design Criteria'!C11</f>
        <v>A002</v>
      </c>
      <c r="B23" s="433" t="str">
        <f>'Design Criteria'!D11</f>
        <v>HANDLING AREA</v>
      </c>
      <c r="C23" s="71" t="str">
        <f>'Design Criteria'!F11</f>
        <v>NC</v>
      </c>
      <c r="D23" s="284">
        <f>'Design Criteria'!I11</f>
        <v>3</v>
      </c>
      <c r="E23" s="105">
        <f>'Design Criteria'!J11</f>
        <v>366.14</v>
      </c>
      <c r="F23" s="105">
        <f>'Design Criteria'!L11</f>
        <v>1903.9279999999999</v>
      </c>
      <c r="G23" s="105">
        <f>'Design Criteria'!M11</f>
        <v>22</v>
      </c>
      <c r="H23" s="105">
        <f>'Design Criteria'!Q11</f>
        <v>22</v>
      </c>
      <c r="I23" s="72">
        <f>'Design Criteria'!AA11</f>
        <v>15497.083999999999</v>
      </c>
      <c r="J23" s="72">
        <f>'Design Criteria'!AB11</f>
        <v>12375.531999999999</v>
      </c>
      <c r="K23" s="173">
        <v>0</v>
      </c>
      <c r="L23" s="422">
        <v>17</v>
      </c>
      <c r="M23" s="135">
        <f>PRODUCT(I23,0.86,1/0.3,1/(G23-L23))</f>
        <v>8884.994826666667</v>
      </c>
      <c r="N23" s="134">
        <f>M23/F23</f>
        <v>4.6666653500902697</v>
      </c>
      <c r="O23" s="422">
        <v>26</v>
      </c>
      <c r="P23" s="135">
        <f>PRODUCT(J23,0.86,1/0.3,1/(O23-H23))</f>
        <v>8869.1312666666672</v>
      </c>
      <c r="Q23" s="134">
        <f>P23/F23</f>
        <v>4.6583333333333341</v>
      </c>
      <c r="R23" s="135">
        <f t="shared" ref="R23" si="24">D23*F23</f>
        <v>5711.7839999999997</v>
      </c>
      <c r="S23" s="75">
        <f t="shared" ref="S23" si="25">MAXA(M23,P23)</f>
        <v>8884.994826666667</v>
      </c>
      <c r="T23" s="136">
        <f>_xlfn.CEILING.MATH(MAX(R23:S23),10)</f>
        <v>8890</v>
      </c>
      <c r="U23" s="160">
        <f>_xlfn.CEILING.MATH(T23*(1+$AG$6),10)</f>
        <v>10670</v>
      </c>
      <c r="V23" s="74">
        <f t="shared" ref="V23" si="26">T23</f>
        <v>8890</v>
      </c>
      <c r="W23" s="73">
        <f>T23/F23</f>
        <v>4.6692942170082068</v>
      </c>
      <c r="X23" s="136">
        <v>0</v>
      </c>
      <c r="Y23" s="160">
        <f t="shared" ref="Y23" si="27">_xlfn.CEILING.MATH(X23*(1+$AG$6),10)</f>
        <v>0</v>
      </c>
      <c r="Z23" s="74">
        <f t="shared" ref="Z23" si="28">V23-(T23-X23)</f>
        <v>0</v>
      </c>
      <c r="AA23" s="76">
        <f>-SUM('PerditeAria(NO PLOT)'!F144:F144)</f>
        <v>0</v>
      </c>
      <c r="AB23" s="77">
        <f>'PerditeAria(NO PLOT)'!F178</f>
        <v>0</v>
      </c>
      <c r="AC23" s="74">
        <f t="shared" ref="AC23" si="29">SUM(T23,-X23,AA23,-AB23)</f>
        <v>8890</v>
      </c>
      <c r="AD23" s="136">
        <f>_xlfn.CEILING.MATH(AC23,10)</f>
        <v>8890</v>
      </c>
      <c r="AE23" s="160">
        <f t="shared" ref="AE23" si="30">_xlfn.CEILING.MATH(AD23*(1+$AG$6),10)</f>
        <v>10670</v>
      </c>
      <c r="AF23" s="161"/>
      <c r="AH23" s="111"/>
      <c r="AI23" s="111"/>
    </row>
    <row r="24" spans="1:35">
      <c r="A24" s="69" t="str">
        <f>'Design Criteria'!C12</f>
        <v>A101</v>
      </c>
      <c r="B24" s="433" t="str">
        <f>'Design Criteria'!D12</f>
        <v>FILTER AGAINST FIRE</v>
      </c>
      <c r="C24" s="71" t="str">
        <f>'Design Criteria'!F12</f>
        <v>NC</v>
      </c>
      <c r="D24" s="284">
        <f>'Design Criteria'!I12</f>
        <v>6</v>
      </c>
      <c r="E24" s="105">
        <f>'Design Criteria'!J12</f>
        <v>8.9</v>
      </c>
      <c r="F24" s="105">
        <f>'Design Criteria'!L12</f>
        <v>24.03</v>
      </c>
      <c r="G24" s="105">
        <f>'Design Criteria'!M12</f>
        <v>22</v>
      </c>
      <c r="H24" s="105">
        <f>'Design Criteria'!Q12</f>
        <v>22</v>
      </c>
      <c r="I24" s="72">
        <f>'Design Criteria'!AA12</f>
        <v>454.34500000000003</v>
      </c>
      <c r="J24" s="72">
        <f>'Design Criteria'!AB12</f>
        <v>396.495</v>
      </c>
      <c r="K24" s="173">
        <v>0</v>
      </c>
      <c r="L24" s="133">
        <f t="shared" ref="L24:L26" si="31">$L$22</f>
        <v>18</v>
      </c>
      <c r="M24" s="135">
        <f t="shared" si="9"/>
        <v>325.61391666666674</v>
      </c>
      <c r="N24" s="134">
        <f t="shared" si="10"/>
        <v>13.550308641975311</v>
      </c>
      <c r="O24" s="133">
        <f t="shared" ref="O24:O26" si="32">$O$22</f>
        <v>25</v>
      </c>
      <c r="P24" s="135">
        <f t="shared" si="11"/>
        <v>378.87300000000005</v>
      </c>
      <c r="Q24" s="134">
        <f t="shared" si="12"/>
        <v>15.766666666666667</v>
      </c>
      <c r="R24" s="135">
        <f t="shared" si="13"/>
        <v>144.18</v>
      </c>
      <c r="S24" s="75">
        <f t="shared" si="14"/>
        <v>378.87300000000005</v>
      </c>
      <c r="T24" s="136">
        <f t="shared" si="15"/>
        <v>380</v>
      </c>
      <c r="U24" s="160">
        <f t="shared" si="16"/>
        <v>460</v>
      </c>
      <c r="V24" s="74">
        <f t="shared" si="17"/>
        <v>380</v>
      </c>
      <c r="W24" s="73">
        <f t="shared" si="18"/>
        <v>15.813566375364127</v>
      </c>
      <c r="X24" s="136">
        <v>0</v>
      </c>
      <c r="Y24" s="160">
        <f t="shared" si="19"/>
        <v>0</v>
      </c>
      <c r="Z24" s="74">
        <f t="shared" si="20"/>
        <v>0</v>
      </c>
      <c r="AA24" s="423">
        <v>0</v>
      </c>
      <c r="AB24" s="423">
        <v>0</v>
      </c>
      <c r="AC24" s="74">
        <f t="shared" si="21"/>
        <v>380</v>
      </c>
      <c r="AD24" s="136">
        <f t="shared" si="22"/>
        <v>380</v>
      </c>
      <c r="AE24" s="160">
        <f t="shared" si="23"/>
        <v>460</v>
      </c>
      <c r="AF24" s="161"/>
      <c r="AH24" s="111"/>
      <c r="AI24" s="111"/>
    </row>
    <row r="25" spans="1:35">
      <c r="A25" s="69" t="str">
        <f>'Design Criteria'!C13</f>
        <v>A102</v>
      </c>
      <c r="B25" s="433" t="str">
        <f>'Design Criteria'!D13</f>
        <v>AIRLOCK VT</v>
      </c>
      <c r="C25" s="71" t="str">
        <f>'Design Criteria'!F13</f>
        <v>NC</v>
      </c>
      <c r="D25" s="284">
        <f>'Design Criteria'!I13</f>
        <v>6</v>
      </c>
      <c r="E25" s="105">
        <f>'Design Criteria'!J13</f>
        <v>5.9</v>
      </c>
      <c r="F25" s="105">
        <f>'Design Criteria'!L13</f>
        <v>15.930000000000001</v>
      </c>
      <c r="G25" s="105">
        <f>'Design Criteria'!M13</f>
        <v>22</v>
      </c>
      <c r="H25" s="105">
        <f>'Design Criteria'!Q13</f>
        <v>22</v>
      </c>
      <c r="I25" s="72">
        <f>'Design Criteria'!AA13</f>
        <v>301.19500000000005</v>
      </c>
      <c r="J25" s="72">
        <f>'Design Criteria'!AB13</f>
        <v>262.84500000000003</v>
      </c>
      <c r="K25" s="173">
        <v>0</v>
      </c>
      <c r="L25" s="133">
        <f t="shared" si="31"/>
        <v>18</v>
      </c>
      <c r="M25" s="135">
        <f t="shared" si="9"/>
        <v>215.85641666666672</v>
      </c>
      <c r="N25" s="134">
        <f t="shared" si="10"/>
        <v>13.550308641975311</v>
      </c>
      <c r="O25" s="133">
        <f t="shared" si="32"/>
        <v>25</v>
      </c>
      <c r="P25" s="135">
        <f t="shared" si="11"/>
        <v>251.16300000000001</v>
      </c>
      <c r="Q25" s="134">
        <f t="shared" si="12"/>
        <v>15.766666666666666</v>
      </c>
      <c r="R25" s="135">
        <f t="shared" si="13"/>
        <v>95.580000000000013</v>
      </c>
      <c r="S25" s="75">
        <f t="shared" si="14"/>
        <v>251.16300000000001</v>
      </c>
      <c r="T25" s="136">
        <f t="shared" si="15"/>
        <v>260</v>
      </c>
      <c r="U25" s="160">
        <f t="shared" si="16"/>
        <v>320</v>
      </c>
      <c r="V25" s="74">
        <f t="shared" si="17"/>
        <v>260</v>
      </c>
      <c r="W25" s="73">
        <f t="shared" si="18"/>
        <v>16.321406151914626</v>
      </c>
      <c r="X25" s="136">
        <v>0</v>
      </c>
      <c r="Y25" s="160">
        <f t="shared" si="19"/>
        <v>0</v>
      </c>
      <c r="Z25" s="74">
        <f t="shared" si="20"/>
        <v>0</v>
      </c>
      <c r="AA25" s="423">
        <v>0</v>
      </c>
      <c r="AB25" s="423">
        <v>0</v>
      </c>
      <c r="AC25" s="74">
        <f t="shared" si="21"/>
        <v>260</v>
      </c>
      <c r="AD25" s="136">
        <f t="shared" si="22"/>
        <v>260</v>
      </c>
      <c r="AE25" s="160">
        <f t="shared" si="23"/>
        <v>320</v>
      </c>
      <c r="AF25" s="161"/>
      <c r="AH25" s="111"/>
      <c r="AI25" s="111"/>
    </row>
    <row r="26" spans="1:35">
      <c r="A26" s="69" t="str">
        <f>'Design Criteria'!C14</f>
        <v>A103</v>
      </c>
      <c r="B26" s="433" t="str">
        <f>'Design Criteria'!D14</f>
        <v>CORRIDOR</v>
      </c>
      <c r="C26" s="71" t="str">
        <f>'Design Criteria'!F14</f>
        <v>NC</v>
      </c>
      <c r="D26" s="284">
        <f>'Design Criteria'!I14</f>
        <v>6</v>
      </c>
      <c r="E26" s="105">
        <f>'Design Criteria'!J14</f>
        <v>23.36</v>
      </c>
      <c r="F26" s="105">
        <f>'Design Criteria'!L14</f>
        <v>63.072000000000003</v>
      </c>
      <c r="G26" s="105">
        <f>'Design Criteria'!M14</f>
        <v>22</v>
      </c>
      <c r="H26" s="105">
        <f>'Design Criteria'!Q14</f>
        <v>22</v>
      </c>
      <c r="I26" s="72">
        <f>'Design Criteria'!AA14</f>
        <v>1318.672</v>
      </c>
      <c r="J26" s="72">
        <f>'Design Criteria'!AB14</f>
        <v>883.00800000000004</v>
      </c>
      <c r="K26" s="173">
        <v>0</v>
      </c>
      <c r="L26" s="133">
        <f t="shared" si="31"/>
        <v>18</v>
      </c>
      <c r="M26" s="135">
        <f>PRODUCT(I26,0.86,1/0.3,1/(G26-L26))</f>
        <v>945.04826666666668</v>
      </c>
      <c r="N26" s="134">
        <f>M26/F26</f>
        <v>14.983641975308641</v>
      </c>
      <c r="O26" s="133">
        <f t="shared" si="32"/>
        <v>25</v>
      </c>
      <c r="P26" s="135">
        <f>PRODUCT(J26,0.86,1/0.3,1/(O26-H26))</f>
        <v>843.76319999999998</v>
      </c>
      <c r="Q26" s="134">
        <f>P26/F26</f>
        <v>13.377777777777776</v>
      </c>
      <c r="R26" s="135">
        <f>D26*F26</f>
        <v>378.43200000000002</v>
      </c>
      <c r="S26" s="75">
        <f>MAXA(M26,P26)</f>
        <v>945.04826666666668</v>
      </c>
      <c r="T26" s="136">
        <f>_xlfn.CEILING.MATH(MAX(R26:S26),10)</f>
        <v>950</v>
      </c>
      <c r="U26" s="160">
        <f>_xlfn.CEILING.MATH(T26*(1+$AG$6),10)</f>
        <v>1140</v>
      </c>
      <c r="V26" s="74">
        <f>T26</f>
        <v>950</v>
      </c>
      <c r="W26" s="73">
        <f>T26/F26</f>
        <v>15.062151192288178</v>
      </c>
      <c r="X26" s="136">
        <v>0</v>
      </c>
      <c r="Y26" s="160">
        <f>_xlfn.CEILING.MATH(X26*(1+$AG$6),10)</f>
        <v>0</v>
      </c>
      <c r="Z26" s="74">
        <f>V26-(T26-X26)</f>
        <v>0</v>
      </c>
      <c r="AA26" s="76">
        <f>-SUM('PerditeAria(NO PLOT)'!F147:F148)</f>
        <v>-140</v>
      </c>
      <c r="AB26" s="77">
        <v>0</v>
      </c>
      <c r="AC26" s="74">
        <f>SUM(T26,-X26,AA26,-AB26)</f>
        <v>810</v>
      </c>
      <c r="AD26" s="136">
        <f>_xlfn.CEILING.MATH(AC26,10)</f>
        <v>810</v>
      </c>
      <c r="AE26" s="160">
        <f>_xlfn.CEILING.MATH(AD26*(1+$AG$6),10)</f>
        <v>980</v>
      </c>
      <c r="AF26" s="161"/>
      <c r="AH26" s="111"/>
      <c r="AI26" s="111"/>
    </row>
    <row r="27" spans="1:35" ht="14.4">
      <c r="A27" s="69" t="str">
        <f>'Design Criteria'!C15</f>
        <v>0428</v>
      </c>
      <c r="B27" s="433" t="str">
        <f>'Design Criteria'!D15</f>
        <v>PREDISPOSITION TO DS</v>
      </c>
      <c r="C27" s="71" t="str">
        <f>'Design Criteria'!F15</f>
        <v>NC</v>
      </c>
      <c r="D27" s="284">
        <f>'Design Criteria'!I15</f>
        <v>3</v>
      </c>
      <c r="E27" s="105">
        <f>'Design Criteria'!J15</f>
        <v>63.81</v>
      </c>
      <c r="F27" s="105">
        <f>'Design Criteria'!L15</f>
        <v>172.28700000000001</v>
      </c>
      <c r="G27" s="105">
        <f>'Design Criteria'!M15</f>
        <v>22</v>
      </c>
      <c r="H27" s="105">
        <f>'Design Criteria'!Q15</f>
        <v>22</v>
      </c>
      <c r="I27" s="72">
        <f>'Design Criteria'!AA15</f>
        <v>15866.514000000001</v>
      </c>
      <c r="J27" s="72">
        <f>'Design Criteria'!AB15</f>
        <v>1895.1570000000002</v>
      </c>
      <c r="K27" s="173">
        <v>0</v>
      </c>
      <c r="L27" s="435">
        <v>22</v>
      </c>
      <c r="M27" s="135" t="s">
        <v>154</v>
      </c>
      <c r="N27" s="135" t="s">
        <v>154</v>
      </c>
      <c r="O27" s="435">
        <v>22</v>
      </c>
      <c r="P27" s="135" t="s">
        <v>154</v>
      </c>
      <c r="Q27" s="135" t="s">
        <v>154</v>
      </c>
      <c r="R27" s="135">
        <f>D27*F27</f>
        <v>516.86099999999999</v>
      </c>
      <c r="S27" s="75">
        <f>R27</f>
        <v>516.86099999999999</v>
      </c>
      <c r="T27" s="136">
        <f>_xlfn.CEILING.MATH(MAX(R27:S27),10)</f>
        <v>520</v>
      </c>
      <c r="U27" s="160">
        <f>_xlfn.CEILING.MATH(T27*(1+$AG$6),10)</f>
        <v>630</v>
      </c>
      <c r="V27" s="74">
        <f t="shared" ref="V27:V28" si="33">T27</f>
        <v>520</v>
      </c>
      <c r="W27" s="73">
        <f t="shared" ref="W27:W28" si="34">T27/F27</f>
        <v>3.0182195986928786</v>
      </c>
      <c r="X27" s="136">
        <v>0</v>
      </c>
      <c r="Y27" s="160">
        <f t="shared" ref="Y27:Y28" si="35">_xlfn.CEILING.MATH(X27*(1+$AG$6),10)</f>
        <v>0</v>
      </c>
      <c r="Z27" s="74">
        <f t="shared" ref="Z27:Z28" si="36">V27-(T27-X27)</f>
        <v>0</v>
      </c>
      <c r="AA27" s="76">
        <v>0</v>
      </c>
      <c r="AB27" s="77">
        <v>0</v>
      </c>
      <c r="AC27" s="74">
        <f t="shared" ref="AC27:AC28" si="37">SUM(T27,-X27,AA27,-AB27)</f>
        <v>520</v>
      </c>
      <c r="AD27" s="136">
        <f t="shared" ref="AD27:AD28" si="38">_xlfn.CEILING.MATH(AC27,10)</f>
        <v>520</v>
      </c>
      <c r="AE27" s="160">
        <f t="shared" ref="AE27:AE28" si="39">_xlfn.CEILING.MATH(AD27*(1+$AG$6),10)</f>
        <v>630</v>
      </c>
      <c r="AF27" s="161" t="s">
        <v>396</v>
      </c>
    </row>
    <row r="28" spans="1:35" s="457" customFormat="1" ht="26.4">
      <c r="A28" s="442" t="str">
        <f>'Design Criteria'!C16</f>
        <v>0437</v>
      </c>
      <c r="B28" s="443" t="str">
        <f>'Design Criteria'!D16</f>
        <v>REVAMPING SAMPLING ON LINE (FUTURO)</v>
      </c>
      <c r="C28" s="444" t="str">
        <f>'Design Criteria'!F16</f>
        <v>NC</v>
      </c>
      <c r="D28" s="445">
        <f>'Design Criteria'!I16</f>
        <v>3</v>
      </c>
      <c r="E28" s="446">
        <f>'Design Criteria'!J16</f>
        <v>43.5</v>
      </c>
      <c r="F28" s="446">
        <f>'Design Criteria'!L16</f>
        <v>130.5</v>
      </c>
      <c r="G28" s="446" t="str">
        <f>'Design Criteria'!M16</f>
        <v>NA</v>
      </c>
      <c r="H28" s="446" t="str">
        <f>'Design Criteria'!Q16</f>
        <v>NA</v>
      </c>
      <c r="I28" s="447" t="str">
        <f>'Design Criteria'!AA16</f>
        <v>NA</v>
      </c>
      <c r="J28" s="447" t="str">
        <f>'Design Criteria'!AB16</f>
        <v>NA</v>
      </c>
      <c r="K28" s="448">
        <v>0</v>
      </c>
      <c r="L28" s="449">
        <v>22</v>
      </c>
      <c r="M28" s="450" t="s">
        <v>154</v>
      </c>
      <c r="N28" s="450" t="s">
        <v>154</v>
      </c>
      <c r="O28" s="449">
        <v>22</v>
      </c>
      <c r="P28" s="450" t="s">
        <v>154</v>
      </c>
      <c r="Q28" s="450" t="s">
        <v>154</v>
      </c>
      <c r="R28" s="450">
        <f>D28*F28</f>
        <v>391.5</v>
      </c>
      <c r="S28" s="451">
        <f>R28</f>
        <v>391.5</v>
      </c>
      <c r="T28" s="452">
        <f>_xlfn.CEILING.MATH(MAX(R28:S28),10)</f>
        <v>400</v>
      </c>
      <c r="U28" s="453">
        <f>_xlfn.CEILING.MATH(T28*(1+$AG$6),10)</f>
        <v>480</v>
      </c>
      <c r="V28" s="450">
        <f t="shared" si="33"/>
        <v>400</v>
      </c>
      <c r="W28" s="454">
        <f t="shared" si="34"/>
        <v>3.0651340996168583</v>
      </c>
      <c r="X28" s="452">
        <v>0</v>
      </c>
      <c r="Y28" s="453">
        <f t="shared" si="35"/>
        <v>0</v>
      </c>
      <c r="Z28" s="450">
        <f t="shared" si="36"/>
        <v>0</v>
      </c>
      <c r="AA28" s="455">
        <v>0</v>
      </c>
      <c r="AB28" s="447">
        <v>0</v>
      </c>
      <c r="AC28" s="450">
        <f t="shared" si="37"/>
        <v>400</v>
      </c>
      <c r="AD28" s="452">
        <f t="shared" si="38"/>
        <v>400</v>
      </c>
      <c r="AE28" s="453">
        <f t="shared" si="39"/>
        <v>480</v>
      </c>
      <c r="AF28" s="456" t="s">
        <v>415</v>
      </c>
    </row>
    <row r="29" spans="1:35" s="457" customFormat="1" ht="26.4">
      <c r="A29" s="442" t="str">
        <f>'Design Criteria'!C17</f>
        <v>1278</v>
      </c>
      <c r="B29" s="443" t="str">
        <f>'Design Criteria'!D17</f>
        <v>REVAMPING PASSAGEWAY (FUTURO)</v>
      </c>
      <c r="C29" s="444" t="str">
        <f>'Design Criteria'!F17</f>
        <v>NC</v>
      </c>
      <c r="D29" s="445">
        <f>'Design Criteria'!I17</f>
        <v>3</v>
      </c>
      <c r="E29" s="446">
        <f>'Design Criteria'!J17</f>
        <v>52.56</v>
      </c>
      <c r="F29" s="446">
        <f>'Design Criteria'!L17</f>
        <v>157.68</v>
      </c>
      <c r="G29" s="446" t="str">
        <f>'Design Criteria'!M17</f>
        <v>NA</v>
      </c>
      <c r="H29" s="446" t="str">
        <f>'Design Criteria'!Q17</f>
        <v>NA</v>
      </c>
      <c r="I29" s="447" t="str">
        <f>'Design Criteria'!AA17</f>
        <v>NA</v>
      </c>
      <c r="J29" s="447" t="str">
        <f>'Design Criteria'!AB17</f>
        <v>NA</v>
      </c>
      <c r="K29" s="448">
        <v>0</v>
      </c>
      <c r="L29" s="449">
        <v>22</v>
      </c>
      <c r="M29" s="450" t="s">
        <v>154</v>
      </c>
      <c r="N29" s="450" t="s">
        <v>154</v>
      </c>
      <c r="O29" s="449">
        <v>22</v>
      </c>
      <c r="P29" s="450" t="s">
        <v>154</v>
      </c>
      <c r="Q29" s="450" t="s">
        <v>154</v>
      </c>
      <c r="R29" s="450">
        <f>D29*F29</f>
        <v>473.04</v>
      </c>
      <c r="S29" s="451">
        <f>R29</f>
        <v>473.04</v>
      </c>
      <c r="T29" s="452">
        <f>_xlfn.CEILING.MATH(MAX(R29:S29),10)</f>
        <v>480</v>
      </c>
      <c r="U29" s="453">
        <f>_xlfn.CEILING.MATH(T29*(1+$AG$6),10)</f>
        <v>580</v>
      </c>
      <c r="V29" s="450">
        <f t="shared" ref="V29" si="40">T29</f>
        <v>480</v>
      </c>
      <c r="W29" s="454">
        <f t="shared" ref="W29" si="41">T29/F29</f>
        <v>3.0441400304414001</v>
      </c>
      <c r="X29" s="452">
        <v>0</v>
      </c>
      <c r="Y29" s="453">
        <f t="shared" ref="Y29" si="42">_xlfn.CEILING.MATH(X29*(1+$AG$6),10)</f>
        <v>0</v>
      </c>
      <c r="Z29" s="450">
        <f t="shared" ref="Z29" si="43">V29-(T29-X29)</f>
        <v>0</v>
      </c>
      <c r="AA29" s="455">
        <v>0</v>
      </c>
      <c r="AB29" s="447">
        <v>0</v>
      </c>
      <c r="AC29" s="450">
        <f t="shared" ref="AC29" si="44">SUM(T29,-X29,AA29,-AB29)</f>
        <v>480</v>
      </c>
      <c r="AD29" s="452">
        <f t="shared" ref="AD29" si="45">_xlfn.CEILING.MATH(AC29,10)</f>
        <v>480</v>
      </c>
      <c r="AE29" s="453">
        <f t="shared" ref="AE29" si="46">_xlfn.CEILING.MATH(AD29*(1+$AG$6),10)</f>
        <v>580</v>
      </c>
      <c r="AF29" s="456" t="s">
        <v>415</v>
      </c>
    </row>
    <row r="30" spans="1:35" s="457" customFormat="1" ht="26.4">
      <c r="A30" s="442" t="str">
        <f>'Design Criteria'!C18</f>
        <v>1373</v>
      </c>
      <c r="B30" s="443" t="str">
        <f>'Design Criteria'!D18</f>
        <v>REVAMPING CALIBRATION AREA (FUTURO)</v>
      </c>
      <c r="C30" s="444" t="str">
        <f>'Design Criteria'!F18</f>
        <v>NC</v>
      </c>
      <c r="D30" s="445">
        <f>'Design Criteria'!I18</f>
        <v>3</v>
      </c>
      <c r="E30" s="446">
        <f>'Design Criteria'!J18</f>
        <v>70.27</v>
      </c>
      <c r="F30" s="446">
        <f>'Design Criteria'!L18</f>
        <v>210.81</v>
      </c>
      <c r="G30" s="446" t="str">
        <f>'Design Criteria'!M18</f>
        <v>NA</v>
      </c>
      <c r="H30" s="446" t="str">
        <f>'Design Criteria'!Q18</f>
        <v>NA</v>
      </c>
      <c r="I30" s="447" t="str">
        <f>'Design Criteria'!AA18</f>
        <v>NA</v>
      </c>
      <c r="J30" s="447" t="str">
        <f>'Design Criteria'!AB18</f>
        <v>NA</v>
      </c>
      <c r="K30" s="448">
        <v>0</v>
      </c>
      <c r="L30" s="449">
        <v>22</v>
      </c>
      <c r="M30" s="450" t="s">
        <v>154</v>
      </c>
      <c r="N30" s="450" t="s">
        <v>154</v>
      </c>
      <c r="O30" s="449">
        <v>22</v>
      </c>
      <c r="P30" s="450" t="s">
        <v>154</v>
      </c>
      <c r="Q30" s="450" t="s">
        <v>154</v>
      </c>
      <c r="R30" s="450">
        <f>D30*F30</f>
        <v>632.43000000000006</v>
      </c>
      <c r="S30" s="451">
        <f>R30</f>
        <v>632.43000000000006</v>
      </c>
      <c r="T30" s="452">
        <f>_xlfn.CEILING.MATH(MAX(R30:S30),10)</f>
        <v>640</v>
      </c>
      <c r="U30" s="453">
        <f>_xlfn.CEILING.MATH(T30*(1+$AG$6),10)</f>
        <v>770</v>
      </c>
      <c r="V30" s="450">
        <f t="shared" ref="V30" si="47">T30</f>
        <v>640</v>
      </c>
      <c r="W30" s="454">
        <f t="shared" ref="W30" si="48">T30/F30</f>
        <v>3.0359091124709452</v>
      </c>
      <c r="X30" s="452">
        <v>0</v>
      </c>
      <c r="Y30" s="453">
        <f t="shared" ref="Y30" si="49">_xlfn.CEILING.MATH(X30*(1+$AG$6),10)</f>
        <v>0</v>
      </c>
      <c r="Z30" s="450">
        <f t="shared" ref="Z30" si="50">V30-(T30-X30)</f>
        <v>0</v>
      </c>
      <c r="AA30" s="455">
        <v>0</v>
      </c>
      <c r="AB30" s="447">
        <v>0</v>
      </c>
      <c r="AC30" s="450">
        <f t="shared" ref="AC30" si="51">SUM(T30,-X30,AA30,-AB30)</f>
        <v>640</v>
      </c>
      <c r="AD30" s="452">
        <f t="shared" ref="AD30" si="52">_xlfn.CEILING.MATH(AC30,10)</f>
        <v>640</v>
      </c>
      <c r="AE30" s="453">
        <f t="shared" ref="AE30" si="53">_xlfn.CEILING.MATH(AD30*(1+$AG$6),10)</f>
        <v>770</v>
      </c>
      <c r="AF30" s="456" t="s">
        <v>415</v>
      </c>
    </row>
    <row r="31" spans="1:35">
      <c r="A31" s="736" t="s">
        <v>11</v>
      </c>
      <c r="B31" s="737"/>
      <c r="C31" s="78"/>
      <c r="D31" s="79"/>
      <c r="E31" s="81">
        <f>SUM(E22:E30)</f>
        <v>652.94999999999982</v>
      </c>
      <c r="F31" s="81">
        <f>SUM(F22:F30)</f>
        <v>2774.4889999999996</v>
      </c>
      <c r="G31" s="80"/>
      <c r="H31" s="80"/>
      <c r="I31" s="80">
        <f>SUM(I22:I30)</f>
        <v>33904.261999999995</v>
      </c>
      <c r="J31" s="80">
        <f>SUM(J22:J30)</f>
        <v>16390.548999999999</v>
      </c>
      <c r="K31" s="80"/>
      <c r="L31" s="80"/>
      <c r="M31" s="80">
        <f>SUM(M22:M30)</f>
        <v>10705.804026666669</v>
      </c>
      <c r="N31" s="80"/>
      <c r="O31" s="80"/>
      <c r="P31" s="80">
        <f>SUM(P22:P30)</f>
        <v>10894.775266666667</v>
      </c>
      <c r="Q31" s="80"/>
      <c r="R31" s="80">
        <f>SUM(R22:R30)</f>
        <v>8632.5630000000001</v>
      </c>
      <c r="S31" s="80">
        <f>SUM(S22:S30)</f>
        <v>13025.754893333336</v>
      </c>
      <c r="T31" s="80">
        <f>SUM(T22:T30)</f>
        <v>13080</v>
      </c>
      <c r="U31" s="80">
        <f>SUM(U22:U30)</f>
        <v>15730</v>
      </c>
      <c r="V31" s="80">
        <f>SUM(V22:V30)</f>
        <v>13080</v>
      </c>
      <c r="W31" s="81"/>
      <c r="X31" s="80">
        <f t="shared" ref="X31:AE31" si="54">SUM(X22:X30)</f>
        <v>0</v>
      </c>
      <c r="Y31" s="80">
        <f t="shared" si="54"/>
        <v>0</v>
      </c>
      <c r="Z31" s="80">
        <f t="shared" si="54"/>
        <v>0</v>
      </c>
      <c r="AA31" s="80">
        <f t="shared" si="54"/>
        <v>-140</v>
      </c>
      <c r="AB31" s="80">
        <f t="shared" si="54"/>
        <v>0</v>
      </c>
      <c r="AC31" s="80">
        <f t="shared" si="54"/>
        <v>12940</v>
      </c>
      <c r="AD31" s="80">
        <f t="shared" si="54"/>
        <v>12940</v>
      </c>
      <c r="AE31" s="80">
        <f t="shared" si="54"/>
        <v>15570</v>
      </c>
      <c r="AF31" s="161"/>
    </row>
    <row r="32" spans="1:35" ht="12.75" customHeight="1" thickBot="1">
      <c r="G32" s="83"/>
      <c r="H32" s="84"/>
      <c r="S32" s="85"/>
    </row>
    <row r="33" spans="1:34" ht="15.75" customHeight="1">
      <c r="G33" s="84"/>
      <c r="H33" s="84"/>
      <c r="Q33" s="93"/>
      <c r="R33" s="116"/>
      <c r="S33" s="84"/>
      <c r="T33" s="738" t="s">
        <v>278</v>
      </c>
      <c r="U33" s="739"/>
      <c r="V33" s="740"/>
      <c r="W33" s="740"/>
      <c r="X33" s="740"/>
      <c r="Y33" s="740"/>
      <c r="Z33" s="740"/>
      <c r="AA33" s="740"/>
      <c r="AB33" s="87">
        <f>_xlfn.CEILING.MATH(T31*(1+$AG$21),100)</f>
        <v>15700</v>
      </c>
      <c r="AC33" s="88" t="s">
        <v>42</v>
      </c>
      <c r="AD33" s="116"/>
    </row>
    <row r="34" spans="1:34" ht="15.6">
      <c r="A34" s="111"/>
      <c r="G34" s="84"/>
      <c r="H34" s="84"/>
      <c r="N34" s="110"/>
      <c r="O34" s="22"/>
      <c r="S34" s="84"/>
      <c r="T34" s="724" t="s">
        <v>279</v>
      </c>
      <c r="U34" s="725"/>
      <c r="V34" s="726"/>
      <c r="W34" s="726"/>
      <c r="X34" s="726"/>
      <c r="Y34" s="726"/>
      <c r="Z34" s="726"/>
      <c r="AA34" s="726"/>
      <c r="AB34" s="162">
        <f>_xlfn.CEILING.MATH(AD31*(1+$AG$21),100)</f>
        <v>15600</v>
      </c>
      <c r="AC34" s="89" t="s">
        <v>42</v>
      </c>
      <c r="AF34" s="90"/>
      <c r="AG34" s="289">
        <f>(AB34-AB35)/AB33</f>
        <v>0.86624203821656054</v>
      </c>
      <c r="AH34" s="288" t="s">
        <v>288</v>
      </c>
    </row>
    <row r="35" spans="1:34" ht="15.6">
      <c r="G35" s="84"/>
      <c r="H35" s="84"/>
      <c r="N35" s="110"/>
      <c r="O35" s="112"/>
      <c r="S35" s="84"/>
      <c r="T35" s="724" t="s">
        <v>280</v>
      </c>
      <c r="U35" s="725"/>
      <c r="V35" s="726"/>
      <c r="W35" s="726"/>
      <c r="X35" s="726"/>
      <c r="Y35" s="726"/>
      <c r="Z35" s="726"/>
      <c r="AA35" s="726"/>
      <c r="AB35" s="162">
        <v>2000</v>
      </c>
      <c r="AC35" s="89" t="s">
        <v>42</v>
      </c>
      <c r="AF35" s="91"/>
      <c r="AG35" s="22">
        <f>_xlfn.CEILING.MATH(X31*(1+$AG$21),100)</f>
        <v>0</v>
      </c>
      <c r="AH35" s="288" t="s">
        <v>286</v>
      </c>
    </row>
    <row r="36" spans="1:34" ht="16.5" customHeight="1" thickBot="1">
      <c r="G36" s="84"/>
      <c r="H36" s="84"/>
      <c r="N36" s="110"/>
      <c r="O36" s="112"/>
      <c r="S36" s="84"/>
      <c r="T36" s="727" t="s">
        <v>281</v>
      </c>
      <c r="U36" s="728"/>
      <c r="V36" s="729"/>
      <c r="W36" s="729"/>
      <c r="X36" s="729"/>
      <c r="Y36" s="729"/>
      <c r="Z36" s="729"/>
      <c r="AA36" s="729"/>
      <c r="AB36" s="104">
        <f>AB33-AB34+AB35</f>
        <v>2100</v>
      </c>
      <c r="AC36" s="282" t="s">
        <v>42</v>
      </c>
      <c r="AG36" s="289">
        <f>AB36/AB33</f>
        <v>0.13375796178343949</v>
      </c>
      <c r="AH36" s="288" t="s">
        <v>287</v>
      </c>
    </row>
    <row r="37" spans="1:34">
      <c r="K37" s="62"/>
      <c r="N37" s="110"/>
      <c r="O37" s="112"/>
      <c r="S37" s="84"/>
      <c r="AC37" s="93"/>
    </row>
    <row r="38" spans="1:34" ht="13.8" thickBot="1"/>
    <row r="39" spans="1:34" ht="25.2" thickBot="1">
      <c r="A39" s="741" t="s">
        <v>364</v>
      </c>
      <c r="B39" s="755"/>
      <c r="C39" s="755"/>
      <c r="D39" s="755"/>
      <c r="E39" s="755"/>
      <c r="F39" s="755"/>
      <c r="G39" s="755"/>
      <c r="H39" s="755"/>
      <c r="I39" s="755"/>
      <c r="J39" s="755"/>
      <c r="K39" s="755"/>
      <c r="L39" s="755"/>
      <c r="M39" s="755"/>
      <c r="N39" s="755"/>
      <c r="O39" s="755"/>
      <c r="P39" s="755"/>
      <c r="Q39" s="755"/>
      <c r="R39" s="755"/>
      <c r="S39" s="755"/>
      <c r="T39" s="755"/>
      <c r="U39" s="755"/>
      <c r="V39" s="755"/>
      <c r="W39" s="755"/>
      <c r="X39" s="755"/>
      <c r="Y39" s="755"/>
      <c r="Z39" s="755"/>
      <c r="AA39" s="755"/>
      <c r="AB39" s="755"/>
      <c r="AC39" s="755"/>
      <c r="AD39" s="755"/>
      <c r="AE39" s="756"/>
      <c r="AF39" s="757"/>
    </row>
    <row r="40" spans="1:34">
      <c r="A40" s="745" t="s">
        <v>29</v>
      </c>
      <c r="B40" s="745" t="s">
        <v>8</v>
      </c>
      <c r="C40" s="746" t="s">
        <v>14</v>
      </c>
      <c r="D40" s="746" t="s">
        <v>52</v>
      </c>
      <c r="E40" s="748" t="s">
        <v>0</v>
      </c>
      <c r="F40" s="748" t="s">
        <v>1</v>
      </c>
      <c r="G40" s="750" t="s">
        <v>36</v>
      </c>
      <c r="H40" s="750" t="s">
        <v>35</v>
      </c>
      <c r="I40" s="746" t="s">
        <v>26</v>
      </c>
      <c r="J40" s="746" t="s">
        <v>25</v>
      </c>
      <c r="K40" s="752" t="s">
        <v>53</v>
      </c>
      <c r="L40" s="735" t="s">
        <v>31</v>
      </c>
      <c r="M40" s="735"/>
      <c r="N40" s="735"/>
      <c r="O40" s="735"/>
      <c r="P40" s="735"/>
      <c r="Q40" s="735"/>
      <c r="R40" s="735"/>
      <c r="S40" s="735"/>
      <c r="T40" s="735"/>
      <c r="U40" s="735"/>
      <c r="V40" s="735"/>
      <c r="W40" s="735"/>
      <c r="X40" s="754" t="s">
        <v>190</v>
      </c>
      <c r="Y40" s="153"/>
      <c r="Z40" s="735" t="s">
        <v>32</v>
      </c>
      <c r="AA40" s="735" t="s">
        <v>20</v>
      </c>
      <c r="AB40" s="735" t="s">
        <v>67</v>
      </c>
      <c r="AC40" s="735" t="s">
        <v>58</v>
      </c>
      <c r="AD40" s="735"/>
      <c r="AE40" s="153"/>
      <c r="AF40" s="721" t="s">
        <v>30</v>
      </c>
    </row>
    <row r="41" spans="1:34">
      <c r="A41" s="733"/>
      <c r="B41" s="733"/>
      <c r="C41" s="747"/>
      <c r="D41" s="747"/>
      <c r="E41" s="749"/>
      <c r="F41" s="749"/>
      <c r="G41" s="751"/>
      <c r="H41" s="751"/>
      <c r="I41" s="747"/>
      <c r="J41" s="747"/>
      <c r="K41" s="753"/>
      <c r="L41" s="732"/>
      <c r="M41" s="732"/>
      <c r="N41" s="732"/>
      <c r="O41" s="732"/>
      <c r="P41" s="732"/>
      <c r="Q41" s="732"/>
      <c r="R41" s="732"/>
      <c r="S41" s="732"/>
      <c r="T41" s="732"/>
      <c r="U41" s="732"/>
      <c r="V41" s="732"/>
      <c r="W41" s="732"/>
      <c r="X41" s="732"/>
      <c r="Y41" s="64"/>
      <c r="Z41" s="732"/>
      <c r="AA41" s="732"/>
      <c r="AB41" s="732"/>
      <c r="AC41" s="732"/>
      <c r="AD41" s="732"/>
      <c r="AE41" s="64"/>
      <c r="AF41" s="722"/>
    </row>
    <row r="42" spans="1:34">
      <c r="A42" s="733"/>
      <c r="B42" s="733"/>
      <c r="C42" s="747"/>
      <c r="D42" s="747"/>
      <c r="E42" s="749"/>
      <c r="F42" s="749"/>
      <c r="G42" s="751"/>
      <c r="H42" s="751"/>
      <c r="I42" s="747"/>
      <c r="J42" s="747"/>
      <c r="K42" s="753"/>
      <c r="L42" s="723" t="s">
        <v>15</v>
      </c>
      <c r="M42" s="723"/>
      <c r="N42" s="723"/>
      <c r="O42" s="723" t="s">
        <v>16</v>
      </c>
      <c r="P42" s="723"/>
      <c r="Q42" s="723"/>
      <c r="R42" s="732" t="s">
        <v>55</v>
      </c>
      <c r="S42" s="732" t="s">
        <v>56</v>
      </c>
      <c r="T42" s="732" t="s">
        <v>33</v>
      </c>
      <c r="U42" s="730" t="s">
        <v>181</v>
      </c>
      <c r="V42" s="732" t="s">
        <v>22</v>
      </c>
      <c r="W42" s="732" t="s">
        <v>57</v>
      </c>
      <c r="X42" s="732"/>
      <c r="Y42" s="730" t="s">
        <v>181</v>
      </c>
      <c r="Z42" s="732"/>
      <c r="AA42" s="732"/>
      <c r="AB42" s="732"/>
      <c r="AC42" s="734" t="s">
        <v>56</v>
      </c>
      <c r="AD42" s="732" t="s">
        <v>33</v>
      </c>
      <c r="AE42" s="730" t="s">
        <v>181</v>
      </c>
      <c r="AF42" s="722"/>
    </row>
    <row r="43" spans="1:34">
      <c r="A43" s="733"/>
      <c r="B43" s="733"/>
      <c r="C43" s="747"/>
      <c r="D43" s="747"/>
      <c r="E43" s="749"/>
      <c r="F43" s="749"/>
      <c r="G43" s="751"/>
      <c r="H43" s="751"/>
      <c r="I43" s="747"/>
      <c r="J43" s="747"/>
      <c r="K43" s="753"/>
      <c r="L43" s="63" t="s">
        <v>17</v>
      </c>
      <c r="M43" s="63" t="s">
        <v>18</v>
      </c>
      <c r="N43" s="64" t="s">
        <v>54</v>
      </c>
      <c r="O43" s="65" t="s">
        <v>17</v>
      </c>
      <c r="P43" s="65" t="s">
        <v>18</v>
      </c>
      <c r="Q43" s="65" t="s">
        <v>54</v>
      </c>
      <c r="R43" s="732"/>
      <c r="S43" s="733"/>
      <c r="T43" s="733"/>
      <c r="U43" s="731"/>
      <c r="V43" s="733"/>
      <c r="W43" s="733"/>
      <c r="X43" s="732"/>
      <c r="Y43" s="731"/>
      <c r="Z43" s="732"/>
      <c r="AA43" s="732"/>
      <c r="AB43" s="732"/>
      <c r="AC43" s="732"/>
      <c r="AD43" s="732"/>
      <c r="AE43" s="731"/>
      <c r="AF43" s="722"/>
    </row>
    <row r="44" spans="1:34">
      <c r="A44" s="733"/>
      <c r="B44" s="733"/>
      <c r="C44" s="747"/>
      <c r="D44" s="66" t="s">
        <v>19</v>
      </c>
      <c r="E44" s="67" t="s">
        <v>38</v>
      </c>
      <c r="F44" s="67" t="s">
        <v>39</v>
      </c>
      <c r="G44" s="67" t="s">
        <v>3</v>
      </c>
      <c r="H44" s="67" t="s">
        <v>3</v>
      </c>
      <c r="I44" s="66" t="s">
        <v>2</v>
      </c>
      <c r="J44" s="66" t="s">
        <v>2</v>
      </c>
      <c r="K44" s="68" t="s">
        <v>4</v>
      </c>
      <c r="L44" s="66" t="s">
        <v>3</v>
      </c>
      <c r="M44" s="66" t="s">
        <v>42</v>
      </c>
      <c r="N44" s="66" t="s">
        <v>19</v>
      </c>
      <c r="O44" s="65" t="s">
        <v>3</v>
      </c>
      <c r="P44" s="65" t="s">
        <v>42</v>
      </c>
      <c r="Q44" s="65" t="s">
        <v>19</v>
      </c>
      <c r="R44" s="66" t="s">
        <v>42</v>
      </c>
      <c r="S44" s="66" t="s">
        <v>42</v>
      </c>
      <c r="T44" s="66" t="s">
        <v>42</v>
      </c>
      <c r="U44" s="159" t="s">
        <v>42</v>
      </c>
      <c r="V44" s="66" t="s">
        <v>42</v>
      </c>
      <c r="W44" s="66" t="s">
        <v>19</v>
      </c>
      <c r="X44" s="66" t="s">
        <v>42</v>
      </c>
      <c r="Y44" s="159" t="s">
        <v>42</v>
      </c>
      <c r="Z44" s="66" t="s">
        <v>42</v>
      </c>
      <c r="AA44" s="66" t="s">
        <v>42</v>
      </c>
      <c r="AB44" s="66" t="s">
        <v>42</v>
      </c>
      <c r="AC44" s="66" t="s">
        <v>42</v>
      </c>
      <c r="AD44" s="66" t="s">
        <v>42</v>
      </c>
      <c r="AE44" s="159" t="s">
        <v>42</v>
      </c>
      <c r="AF44" s="722"/>
      <c r="AG44" s="106">
        <v>0.2</v>
      </c>
    </row>
    <row r="45" spans="1:34">
      <c r="A45" s="69" t="str">
        <f>'Design Criteria'!C20</f>
        <v>A104</v>
      </c>
      <c r="B45" s="70" t="str">
        <f>'Design Criteria'!D20</f>
        <v>MALE CHANGING ROOM</v>
      </c>
      <c r="C45" s="71" t="str">
        <f>'Design Criteria'!F20</f>
        <v>NC</v>
      </c>
      <c r="D45" s="284">
        <v>0</v>
      </c>
      <c r="E45" s="105">
        <f>'Design Criteria'!J20</f>
        <v>18.37</v>
      </c>
      <c r="F45" s="105">
        <f>'Design Criteria'!L20</f>
        <v>49.599000000000004</v>
      </c>
      <c r="G45" s="105">
        <f>'Design Criteria'!M20</f>
        <v>22</v>
      </c>
      <c r="H45" s="105">
        <f>'Design Criteria'!Q20</f>
        <v>22</v>
      </c>
      <c r="I45" s="72">
        <f>'Design Criteria'!AA20</f>
        <v>1488.9915000000001</v>
      </c>
      <c r="J45" s="72">
        <f>'Design Criteria'!AB20</f>
        <v>619.98750000000007</v>
      </c>
      <c r="K45" s="173">
        <v>-5</v>
      </c>
      <c r="L45" s="133">
        <v>22</v>
      </c>
      <c r="M45" s="135" t="s">
        <v>154</v>
      </c>
      <c r="N45" s="135" t="s">
        <v>154</v>
      </c>
      <c r="O45" s="133">
        <v>22</v>
      </c>
      <c r="P45" s="135" t="s">
        <v>154</v>
      </c>
      <c r="Q45" s="135" t="s">
        <v>154</v>
      </c>
      <c r="R45" s="135">
        <f>D45*F45</f>
        <v>0</v>
      </c>
      <c r="S45" s="75">
        <f>MAXA(M45,P45)</f>
        <v>0</v>
      </c>
      <c r="T45" s="301">
        <v>350</v>
      </c>
      <c r="U45" s="160">
        <f>_xlfn.CEILING.MATH(T45*(1+$AG$6),10)</f>
        <v>420</v>
      </c>
      <c r="V45" s="74">
        <f>T45</f>
        <v>350</v>
      </c>
      <c r="W45" s="73">
        <f>T45/F45</f>
        <v>7.0565938829411881</v>
      </c>
      <c r="X45" s="301">
        <v>440</v>
      </c>
      <c r="Y45" s="160">
        <f>_xlfn.CEILING.MATH(X45*(1+$AG$6),10)</f>
        <v>530</v>
      </c>
      <c r="Z45" s="74">
        <f>V45-(T45-X45)</f>
        <v>440</v>
      </c>
      <c r="AA45" s="76">
        <f>-SUM('PerditeAria(NO PLOT)'!F149:F150)</f>
        <v>0</v>
      </c>
      <c r="AB45" s="77">
        <f>'PerditeAria(NO PLOT)'!F180</f>
        <v>-90</v>
      </c>
      <c r="AC45" s="74">
        <f>SUM(T45,-X45,AA45,-AB45)</f>
        <v>0</v>
      </c>
      <c r="AD45" s="136">
        <f>_xlfn.CEILING.MATH(AC45,10)</f>
        <v>0</v>
      </c>
      <c r="AE45" s="160">
        <f>_xlfn.CEILING.MATH(AD45*(1+$AG$6),10)</f>
        <v>0</v>
      </c>
      <c r="AF45" s="161" t="s">
        <v>396</v>
      </c>
    </row>
    <row r="46" spans="1:34">
      <c r="A46" s="69" t="str">
        <f>'Design Criteria'!C21</f>
        <v>A105</v>
      </c>
      <c r="B46" s="70" t="str">
        <f>'Design Criteria'!D21</f>
        <v>MALE WC</v>
      </c>
      <c r="C46" s="71" t="str">
        <f>'Design Criteria'!F21</f>
        <v>NC</v>
      </c>
      <c r="D46" s="284">
        <v>0</v>
      </c>
      <c r="E46" s="105">
        <f>'Design Criteria'!J21</f>
        <v>23</v>
      </c>
      <c r="F46" s="105">
        <f>'Design Criteria'!L21</f>
        <v>62.1</v>
      </c>
      <c r="G46" s="105">
        <f>'Design Criteria'!M21</f>
        <v>22</v>
      </c>
      <c r="H46" s="105">
        <f>'Design Criteria'!Q21</f>
        <v>22</v>
      </c>
      <c r="I46" s="72">
        <f>'Design Criteria'!AA21</f>
        <v>635.95000000000005</v>
      </c>
      <c r="J46" s="72">
        <f>'Design Criteria'!AB21</f>
        <v>776.25</v>
      </c>
      <c r="K46" s="173">
        <v>-10</v>
      </c>
      <c r="L46" s="133">
        <v>22</v>
      </c>
      <c r="M46" s="135" t="s">
        <v>154</v>
      </c>
      <c r="N46" s="135" t="s">
        <v>154</v>
      </c>
      <c r="O46" s="133">
        <v>22</v>
      </c>
      <c r="P46" s="135" t="s">
        <v>154</v>
      </c>
      <c r="Q46" s="135" t="s">
        <v>154</v>
      </c>
      <c r="R46" s="135">
        <f t="shared" ref="R46" si="55">D46*F46</f>
        <v>0</v>
      </c>
      <c r="S46" s="75">
        <f t="shared" ref="S46" si="56">MAXA(M46,P46)</f>
        <v>0</v>
      </c>
      <c r="T46" s="301">
        <v>500</v>
      </c>
      <c r="U46" s="160">
        <f t="shared" ref="U46" si="57">_xlfn.CEILING.MATH(T46*(1+$AG$6),10)</f>
        <v>600</v>
      </c>
      <c r="V46" s="74">
        <f t="shared" ref="V46" si="58">T46</f>
        <v>500</v>
      </c>
      <c r="W46" s="73">
        <f t="shared" ref="W46" si="59">T46/F46</f>
        <v>8.0515297906602257</v>
      </c>
      <c r="X46" s="301">
        <f>8*100</f>
        <v>800</v>
      </c>
      <c r="Y46" s="160">
        <f t="shared" ref="Y46" si="60">_xlfn.CEILING.MATH(X46*(1+$AG$6),10)</f>
        <v>960</v>
      </c>
      <c r="Z46" s="74">
        <f t="shared" ref="Z46" si="61">V46-(T46-X46)</f>
        <v>800</v>
      </c>
      <c r="AA46" s="76">
        <f>-SUM('PerditeAria(NO PLOT)'!F151:F151)</f>
        <v>70</v>
      </c>
      <c r="AB46" s="77">
        <f>'PerditeAria(NO PLOT)'!F181</f>
        <v>-230</v>
      </c>
      <c r="AC46" s="74">
        <f t="shared" ref="AC46" si="62">SUM(T46,-X46,AA46,-AB46)</f>
        <v>0</v>
      </c>
      <c r="AD46" s="136">
        <f t="shared" ref="AD46" si="63">_xlfn.CEILING.MATH(AC46,10)</f>
        <v>0</v>
      </c>
      <c r="AE46" s="160">
        <f t="shared" ref="AE46" si="64">_xlfn.CEILING.MATH(AD46*(1+$AG$6),10)</f>
        <v>0</v>
      </c>
      <c r="AF46" s="161" t="s">
        <v>396</v>
      </c>
    </row>
    <row r="47" spans="1:34">
      <c r="A47" s="69" t="str">
        <f>'Design Criteria'!C22</f>
        <v>A106</v>
      </c>
      <c r="B47" s="70" t="str">
        <f>'Design Criteria'!D22</f>
        <v>FEMALE WC</v>
      </c>
      <c r="C47" s="71" t="str">
        <f>'Design Criteria'!F22</f>
        <v>NC</v>
      </c>
      <c r="D47" s="284">
        <v>0</v>
      </c>
      <c r="E47" s="105">
        <f>'Design Criteria'!J22</f>
        <v>23</v>
      </c>
      <c r="F47" s="105">
        <f>'Design Criteria'!L22</f>
        <v>62.1</v>
      </c>
      <c r="G47" s="105">
        <f>'Design Criteria'!M22</f>
        <v>22</v>
      </c>
      <c r="H47" s="105">
        <f>'Design Criteria'!Q22</f>
        <v>22</v>
      </c>
      <c r="I47" s="72">
        <f>'Design Criteria'!AA22</f>
        <v>635.95000000000005</v>
      </c>
      <c r="J47" s="72">
        <f>'Design Criteria'!AB22</f>
        <v>776.25</v>
      </c>
      <c r="K47" s="173">
        <v>-10</v>
      </c>
      <c r="L47" s="133">
        <v>22</v>
      </c>
      <c r="M47" s="135" t="s">
        <v>154</v>
      </c>
      <c r="N47" s="135" t="s">
        <v>154</v>
      </c>
      <c r="O47" s="133">
        <v>22</v>
      </c>
      <c r="P47" s="135" t="s">
        <v>154</v>
      </c>
      <c r="Q47" s="135" t="s">
        <v>154</v>
      </c>
      <c r="R47" s="135">
        <f>D47*F47</f>
        <v>0</v>
      </c>
      <c r="S47" s="75">
        <f>MAXA(M47,P47)</f>
        <v>0</v>
      </c>
      <c r="T47" s="301">
        <v>500</v>
      </c>
      <c r="U47" s="160">
        <f>_xlfn.CEILING.MATH(T47*(1+$AG$6),10)</f>
        <v>600</v>
      </c>
      <c r="V47" s="74">
        <f>T47</f>
        <v>500</v>
      </c>
      <c r="W47" s="73">
        <f>T47/F47</f>
        <v>8.0515297906602257</v>
      </c>
      <c r="X47" s="301">
        <f>8*100</f>
        <v>800</v>
      </c>
      <c r="Y47" s="160">
        <f>_xlfn.CEILING.MATH(X47*(1+$AG$6),10)</f>
        <v>960</v>
      </c>
      <c r="Z47" s="74">
        <f>V47-(T47-X47)</f>
        <v>800</v>
      </c>
      <c r="AA47" s="76">
        <f>-SUM('PerditeAria(NO PLOT)'!F152:F152)</f>
        <v>70</v>
      </c>
      <c r="AB47" s="77">
        <f>'PerditeAria(NO PLOT)'!F182</f>
        <v>-230</v>
      </c>
      <c r="AC47" s="74">
        <f>SUM(T47,-X47,AA47,-AB47)</f>
        <v>0</v>
      </c>
      <c r="AD47" s="136">
        <f>_xlfn.CEILING.MATH(AC47,10)</f>
        <v>0</v>
      </c>
      <c r="AE47" s="160">
        <f>_xlfn.CEILING.MATH(AD47*(1+$AG$6),10)</f>
        <v>0</v>
      </c>
      <c r="AF47" s="161" t="s">
        <v>396</v>
      </c>
    </row>
    <row r="48" spans="1:34">
      <c r="A48" s="69" t="str">
        <f>'Design Criteria'!C23</f>
        <v>A107</v>
      </c>
      <c r="B48" s="70" t="str">
        <f>'Design Criteria'!D23</f>
        <v>FEMALE CHANGING ROOM</v>
      </c>
      <c r="C48" s="71" t="str">
        <f>'Design Criteria'!F23</f>
        <v>NC</v>
      </c>
      <c r="D48" s="284">
        <v>0</v>
      </c>
      <c r="E48" s="105">
        <f>'Design Criteria'!J23</f>
        <v>26</v>
      </c>
      <c r="F48" s="105">
        <f>'Design Criteria'!L23</f>
        <v>70.2</v>
      </c>
      <c r="G48" s="105">
        <f>'Design Criteria'!M23</f>
        <v>22</v>
      </c>
      <c r="H48" s="105">
        <f>'Design Criteria'!Q23</f>
        <v>22</v>
      </c>
      <c r="I48" s="72">
        <f>'Design Criteria'!AA23</f>
        <v>2116.6999999999998</v>
      </c>
      <c r="J48" s="72">
        <f>'Design Criteria'!AB23</f>
        <v>877.5</v>
      </c>
      <c r="K48" s="173">
        <v>-5</v>
      </c>
      <c r="L48" s="133">
        <v>22</v>
      </c>
      <c r="M48" s="135" t="s">
        <v>154</v>
      </c>
      <c r="N48" s="135" t="s">
        <v>154</v>
      </c>
      <c r="O48" s="133">
        <v>22</v>
      </c>
      <c r="P48" s="135" t="s">
        <v>154</v>
      </c>
      <c r="Q48" s="135" t="s">
        <v>154</v>
      </c>
      <c r="R48" s="135">
        <f>D48*F48</f>
        <v>0</v>
      </c>
      <c r="S48" s="75">
        <f>MAXA(M48,P48)</f>
        <v>0</v>
      </c>
      <c r="T48" s="301">
        <v>500</v>
      </c>
      <c r="U48" s="160">
        <f>_xlfn.CEILING.MATH(T48*(1+$AG$6),10)</f>
        <v>600</v>
      </c>
      <c r="V48" s="74">
        <f>T48</f>
        <v>500</v>
      </c>
      <c r="W48" s="73">
        <f>T48/F48</f>
        <v>7.1225071225071224</v>
      </c>
      <c r="X48" s="301">
        <v>630</v>
      </c>
      <c r="Y48" s="160">
        <f>_xlfn.CEILING.MATH(X48*(1+$AG$6),10)</f>
        <v>760</v>
      </c>
      <c r="Z48" s="74">
        <f>V48-(T48-X48)</f>
        <v>630</v>
      </c>
      <c r="AA48" s="76">
        <f>-SUM('PerditeAria(NO PLOT)'!F153:F154)</f>
        <v>0</v>
      </c>
      <c r="AB48" s="77">
        <f>'PerditeAria(NO PLOT)'!F183</f>
        <v>-130</v>
      </c>
      <c r="AC48" s="74">
        <f>SUM(T48,-X48,AA48,-AB48)</f>
        <v>0</v>
      </c>
      <c r="AD48" s="136">
        <f>_xlfn.CEILING.MATH(AC48,10)</f>
        <v>0</v>
      </c>
      <c r="AE48" s="160">
        <f>_xlfn.CEILING.MATH(AD48*(1+$AG$6),10)</f>
        <v>0</v>
      </c>
      <c r="AF48" s="161" t="s">
        <v>396</v>
      </c>
    </row>
    <row r="49" spans="1:34">
      <c r="A49" s="69" t="str">
        <f>'Design Criteria'!C24</f>
        <v>A110</v>
      </c>
      <c r="B49" s="70" t="str">
        <f>'Design Criteria'!D24</f>
        <v>SUPERVISOR ROOM</v>
      </c>
      <c r="C49" s="71" t="str">
        <f>'Design Criteria'!F24</f>
        <v>NC</v>
      </c>
      <c r="D49" s="284">
        <v>0</v>
      </c>
      <c r="E49" s="105">
        <f>'Design Criteria'!J24</f>
        <v>7</v>
      </c>
      <c r="F49" s="105">
        <f>'Design Criteria'!L24</f>
        <v>18.900000000000002</v>
      </c>
      <c r="G49" s="105">
        <f>'Design Criteria'!M24</f>
        <v>22</v>
      </c>
      <c r="H49" s="105">
        <f>'Design Criteria'!Q24</f>
        <v>22</v>
      </c>
      <c r="I49" s="72">
        <f>'Design Criteria'!AA24</f>
        <v>532.35</v>
      </c>
      <c r="J49" s="72">
        <f>'Design Criteria'!AB24</f>
        <v>311.85000000000002</v>
      </c>
      <c r="K49" s="173">
        <v>0</v>
      </c>
      <c r="L49" s="133">
        <v>22</v>
      </c>
      <c r="M49" s="135" t="s">
        <v>154</v>
      </c>
      <c r="N49" s="135" t="s">
        <v>154</v>
      </c>
      <c r="O49" s="133">
        <v>22</v>
      </c>
      <c r="P49" s="135" t="s">
        <v>154</v>
      </c>
      <c r="Q49" s="135" t="s">
        <v>154</v>
      </c>
      <c r="R49" s="135">
        <f>D49*F49</f>
        <v>0</v>
      </c>
      <c r="S49" s="75">
        <f>MAXA(M49,P49)</f>
        <v>0</v>
      </c>
      <c r="T49" s="301">
        <v>250</v>
      </c>
      <c r="U49" s="160">
        <f>_xlfn.CEILING.MATH(T49*(1+$AG$6),10)</f>
        <v>300</v>
      </c>
      <c r="V49" s="74">
        <f>T49</f>
        <v>250</v>
      </c>
      <c r="W49" s="73">
        <f>T49/F49</f>
        <v>13.227513227513226</v>
      </c>
      <c r="X49" s="301">
        <v>250</v>
      </c>
      <c r="Y49" s="160">
        <f>_xlfn.CEILING.MATH(X49*(1+$AG$6),10)</f>
        <v>300</v>
      </c>
      <c r="Z49" s="74">
        <f>V49-(T49-X49)</f>
        <v>250</v>
      </c>
      <c r="AA49" s="76">
        <v>0</v>
      </c>
      <c r="AB49" s="77">
        <v>0</v>
      </c>
      <c r="AC49" s="74">
        <f>SUM(T49,-X49,AA49,-AB49)</f>
        <v>0</v>
      </c>
      <c r="AD49" s="136">
        <f>_xlfn.CEILING.MATH(AC49,10)</f>
        <v>0</v>
      </c>
      <c r="AE49" s="160">
        <f>_xlfn.CEILING.MATH(AD49*(1+$AG$6),10)</f>
        <v>0</v>
      </c>
      <c r="AF49" s="161" t="s">
        <v>396</v>
      </c>
    </row>
    <row r="50" spans="1:34">
      <c r="A50" s="69" t="str">
        <f>'Design Criteria'!C25</f>
        <v>A109</v>
      </c>
      <c r="B50" s="70" t="str">
        <f>'Design Criteria'!D25</f>
        <v>UPS ROOM</v>
      </c>
      <c r="C50" s="71" t="str">
        <f>'Design Criteria'!F25</f>
        <v>NC</v>
      </c>
      <c r="D50" s="284">
        <v>0</v>
      </c>
      <c r="E50" s="105">
        <f>'Design Criteria'!J25</f>
        <v>6</v>
      </c>
      <c r="F50" s="105">
        <f>'Design Criteria'!L25</f>
        <v>16.200000000000003</v>
      </c>
      <c r="G50" s="105">
        <f>'Design Criteria'!M25</f>
        <v>25</v>
      </c>
      <c r="H50" s="105">
        <f>'Design Criteria'!Q25</f>
        <v>20</v>
      </c>
      <c r="I50" s="72">
        <f>'Design Criteria'!AA25</f>
        <v>5806.3</v>
      </c>
      <c r="J50" s="72">
        <f>'Design Criteria'!AB25</f>
        <v>267.30000000000007</v>
      </c>
      <c r="K50" s="173">
        <v>0</v>
      </c>
      <c r="L50" s="133">
        <v>22</v>
      </c>
      <c r="M50" s="135" t="s">
        <v>154</v>
      </c>
      <c r="N50" s="135" t="s">
        <v>154</v>
      </c>
      <c r="O50" s="133">
        <v>22</v>
      </c>
      <c r="P50" s="135" t="s">
        <v>154</v>
      </c>
      <c r="Q50" s="135" t="s">
        <v>154</v>
      </c>
      <c r="R50" s="135">
        <f>D50*F50</f>
        <v>0</v>
      </c>
      <c r="S50" s="75">
        <f>MAXA(M50,P50)</f>
        <v>0</v>
      </c>
      <c r="T50" s="301">
        <v>100</v>
      </c>
      <c r="U50" s="160">
        <f>_xlfn.CEILING.MATH(T50*(1+$AG$6),10)</f>
        <v>120</v>
      </c>
      <c r="V50" s="74">
        <f>T50</f>
        <v>100</v>
      </c>
      <c r="W50" s="73">
        <f>T50/F50</f>
        <v>6.1728395061728385</v>
      </c>
      <c r="X50" s="301">
        <v>100</v>
      </c>
      <c r="Y50" s="160">
        <f>_xlfn.CEILING.MATH(X50*(1+$AG$6),10)</f>
        <v>120</v>
      </c>
      <c r="Z50" s="74">
        <f>V50-(T50-X50)</f>
        <v>100</v>
      </c>
      <c r="AA50" s="76">
        <v>0</v>
      </c>
      <c r="AB50" s="77">
        <v>0</v>
      </c>
      <c r="AC50" s="74">
        <f>SUM(T50,-X50,AA50,-AB50)</f>
        <v>0</v>
      </c>
      <c r="AD50" s="136">
        <f>_xlfn.CEILING.MATH(AC50,10)</f>
        <v>0</v>
      </c>
      <c r="AE50" s="160">
        <f>_xlfn.CEILING.MATH(AD50*(1+$AG$6),10)</f>
        <v>0</v>
      </c>
      <c r="AF50" s="161" t="s">
        <v>396</v>
      </c>
    </row>
    <row r="51" spans="1:34">
      <c r="A51" s="736" t="s">
        <v>11</v>
      </c>
      <c r="B51" s="737"/>
      <c r="C51" s="78"/>
      <c r="D51" s="79"/>
      <c r="E51" s="81">
        <f>SUM(E45:E50)</f>
        <v>103.37</v>
      </c>
      <c r="F51" s="81">
        <f>SUM(F45:F50)</f>
        <v>279.09899999999999</v>
      </c>
      <c r="G51" s="80"/>
      <c r="H51" s="80"/>
      <c r="I51" s="80">
        <f>SUM(I45:I50)</f>
        <v>11216.2415</v>
      </c>
      <c r="J51" s="80">
        <f>SUM(J45:J50)</f>
        <v>3629.1375000000003</v>
      </c>
      <c r="K51" s="80"/>
      <c r="L51" s="80"/>
      <c r="M51" s="80">
        <f>SUM(M45:M48)</f>
        <v>0</v>
      </c>
      <c r="N51" s="80"/>
      <c r="O51" s="80"/>
      <c r="P51" s="80">
        <f>SUM(P45:P48)</f>
        <v>0</v>
      </c>
      <c r="Q51" s="80"/>
      <c r="R51" s="80">
        <f>SUM(R45:R48)</f>
        <v>0</v>
      </c>
      <c r="S51" s="80">
        <f>SUM(S45:S48)</f>
        <v>0</v>
      </c>
      <c r="T51" s="80">
        <f>SUM(T45:T50)</f>
        <v>2200</v>
      </c>
      <c r="U51" s="80">
        <f>SUM(U45:U48)</f>
        <v>2220</v>
      </c>
      <c r="V51" s="80">
        <f>SUM(V45:V50)</f>
        <v>2200</v>
      </c>
      <c r="W51" s="81"/>
      <c r="X51" s="80">
        <f t="shared" ref="X51:AD51" si="65">SUM(X45:X50)</f>
        <v>3020</v>
      </c>
      <c r="Y51" s="80">
        <f t="shared" si="65"/>
        <v>3630</v>
      </c>
      <c r="Z51" s="80">
        <f t="shared" si="65"/>
        <v>3020</v>
      </c>
      <c r="AA51" s="80">
        <f t="shared" si="65"/>
        <v>140</v>
      </c>
      <c r="AB51" s="80">
        <f t="shared" si="65"/>
        <v>-680</v>
      </c>
      <c r="AC51" s="80">
        <f t="shared" si="65"/>
        <v>0</v>
      </c>
      <c r="AD51" s="80">
        <f t="shared" si="65"/>
        <v>0</v>
      </c>
      <c r="AE51" s="287">
        <f>SUM(AE7:AE48)</f>
        <v>46680</v>
      </c>
      <c r="AF51" s="161"/>
    </row>
    <row r="52" spans="1:34" ht="13.8" thickBot="1">
      <c r="G52" s="83"/>
      <c r="H52" s="84"/>
      <c r="S52" s="85"/>
    </row>
    <row r="53" spans="1:34" ht="15.6">
      <c r="G53" s="84"/>
      <c r="H53" s="84"/>
      <c r="Q53" s="93"/>
      <c r="R53" s="116"/>
      <c r="S53" s="84"/>
      <c r="T53" s="738" t="s">
        <v>278</v>
      </c>
      <c r="U53" s="739"/>
      <c r="V53" s="740"/>
      <c r="W53" s="740"/>
      <c r="X53" s="740"/>
      <c r="Y53" s="740"/>
      <c r="Z53" s="740"/>
      <c r="AA53" s="740"/>
      <c r="AB53" s="87">
        <f>_xlfn.CEILING.MATH(T51*(1+$AG$44),100)</f>
        <v>2700</v>
      </c>
      <c r="AC53" s="88" t="s">
        <v>42</v>
      </c>
      <c r="AD53" s="116"/>
    </row>
    <row r="54" spans="1:34" ht="15.6">
      <c r="A54" s="111"/>
      <c r="G54" s="84"/>
      <c r="H54" s="84"/>
      <c r="N54" s="110"/>
      <c r="O54" s="22"/>
      <c r="S54" s="84"/>
      <c r="T54" s="724" t="s">
        <v>279</v>
      </c>
      <c r="U54" s="725"/>
      <c r="V54" s="726"/>
      <c r="W54" s="726"/>
      <c r="X54" s="726"/>
      <c r="Y54" s="726"/>
      <c r="Z54" s="726"/>
      <c r="AA54" s="726"/>
      <c r="AB54" s="162">
        <f>AB55</f>
        <v>3700</v>
      </c>
      <c r="AC54" s="89" t="s">
        <v>42</v>
      </c>
      <c r="AF54" s="90"/>
      <c r="AG54" s="289">
        <f>(AB54-AB55)/AB53</f>
        <v>0</v>
      </c>
      <c r="AH54" s="288" t="s">
        <v>288</v>
      </c>
    </row>
    <row r="55" spans="1:34" ht="15.6">
      <c r="G55" s="84"/>
      <c r="H55" s="84"/>
      <c r="N55" s="110"/>
      <c r="O55" s="112"/>
      <c r="S55" s="84"/>
      <c r="T55" s="724" t="s">
        <v>280</v>
      </c>
      <c r="U55" s="725"/>
      <c r="V55" s="726"/>
      <c r="W55" s="726"/>
      <c r="X55" s="726"/>
      <c r="Y55" s="726"/>
      <c r="Z55" s="726"/>
      <c r="AA55" s="726"/>
      <c r="AB55" s="162">
        <f>_xlfn.CEILING.MATH(X51*(1+$AG$44),100)</f>
        <v>3700</v>
      </c>
      <c r="AC55" s="89" t="s">
        <v>42</v>
      </c>
      <c r="AF55" s="91"/>
      <c r="AG55" s="22">
        <f>_xlfn.CEILING.MATH(X51*(1+$AG$44),100)</f>
        <v>3700</v>
      </c>
      <c r="AH55" s="288" t="s">
        <v>286</v>
      </c>
    </row>
    <row r="56" spans="1:34" ht="16.2" thickBot="1">
      <c r="G56" s="84"/>
      <c r="H56" s="84"/>
      <c r="N56" s="110"/>
      <c r="O56" s="112"/>
      <c r="S56" s="84"/>
      <c r="T56" s="727" t="s">
        <v>281</v>
      </c>
      <c r="U56" s="728"/>
      <c r="V56" s="729"/>
      <c r="W56" s="729"/>
      <c r="X56" s="729"/>
      <c r="Y56" s="729"/>
      <c r="Z56" s="729"/>
      <c r="AA56" s="729"/>
      <c r="AB56" s="104">
        <f>AB53-AB54+AB55</f>
        <v>2700</v>
      </c>
      <c r="AC56" s="282" t="s">
        <v>42</v>
      </c>
      <c r="AG56" s="289">
        <f>AB56/AB53</f>
        <v>1</v>
      </c>
      <c r="AH56" s="288" t="s">
        <v>287</v>
      </c>
    </row>
    <row r="58" spans="1:34" ht="13.8" thickBot="1"/>
    <row r="59" spans="1:34" ht="25.2" thickBot="1">
      <c r="A59" s="741" t="s">
        <v>385</v>
      </c>
      <c r="B59" s="755"/>
      <c r="C59" s="755"/>
      <c r="D59" s="755"/>
      <c r="E59" s="755"/>
      <c r="F59" s="755"/>
      <c r="G59" s="755"/>
      <c r="H59" s="755"/>
      <c r="I59" s="755"/>
      <c r="J59" s="755"/>
      <c r="K59" s="755"/>
      <c r="L59" s="755"/>
      <c r="M59" s="755"/>
      <c r="N59" s="755"/>
      <c r="O59" s="755"/>
      <c r="P59" s="755"/>
      <c r="Q59" s="755"/>
      <c r="R59" s="755"/>
      <c r="S59" s="755"/>
      <c r="T59" s="755"/>
      <c r="U59" s="755"/>
      <c r="V59" s="755"/>
      <c r="W59" s="755"/>
      <c r="X59" s="755"/>
      <c r="Y59" s="755"/>
      <c r="Z59" s="755"/>
      <c r="AA59" s="755"/>
      <c r="AB59" s="755"/>
      <c r="AC59" s="755"/>
      <c r="AD59" s="755"/>
      <c r="AE59" s="756"/>
      <c r="AF59" s="757"/>
    </row>
    <row r="60" spans="1:34" ht="12.75" customHeight="1">
      <c r="A60" s="745" t="s">
        <v>29</v>
      </c>
      <c r="B60" s="745" t="s">
        <v>8</v>
      </c>
      <c r="C60" s="746" t="s">
        <v>14</v>
      </c>
      <c r="D60" s="746" t="s">
        <v>52</v>
      </c>
      <c r="E60" s="748" t="s">
        <v>0</v>
      </c>
      <c r="F60" s="748" t="s">
        <v>1</v>
      </c>
      <c r="G60" s="750" t="s">
        <v>36</v>
      </c>
      <c r="H60" s="750" t="s">
        <v>35</v>
      </c>
      <c r="I60" s="746" t="s">
        <v>26</v>
      </c>
      <c r="J60" s="746" t="s">
        <v>25</v>
      </c>
      <c r="K60" s="752" t="s">
        <v>53</v>
      </c>
      <c r="L60" s="735" t="s">
        <v>31</v>
      </c>
      <c r="M60" s="735"/>
      <c r="N60" s="735"/>
      <c r="O60" s="735"/>
      <c r="P60" s="735"/>
      <c r="Q60" s="735"/>
      <c r="R60" s="735"/>
      <c r="S60" s="735"/>
      <c r="T60" s="735"/>
      <c r="U60" s="735"/>
      <c r="V60" s="735"/>
      <c r="W60" s="735"/>
      <c r="X60" s="754" t="s">
        <v>190</v>
      </c>
      <c r="Y60" s="153"/>
      <c r="Z60" s="735" t="s">
        <v>32</v>
      </c>
      <c r="AA60" s="735" t="s">
        <v>20</v>
      </c>
      <c r="AB60" s="735" t="s">
        <v>67</v>
      </c>
      <c r="AC60" s="735" t="s">
        <v>58</v>
      </c>
      <c r="AD60" s="735"/>
      <c r="AE60" s="153"/>
      <c r="AF60" s="721" t="s">
        <v>30</v>
      </c>
    </row>
    <row r="61" spans="1:34" ht="12.75" customHeight="1">
      <c r="A61" s="733"/>
      <c r="B61" s="733"/>
      <c r="C61" s="747"/>
      <c r="D61" s="747"/>
      <c r="E61" s="749"/>
      <c r="F61" s="749"/>
      <c r="G61" s="751"/>
      <c r="H61" s="751"/>
      <c r="I61" s="747"/>
      <c r="J61" s="747"/>
      <c r="K61" s="753"/>
      <c r="L61" s="732"/>
      <c r="M61" s="732"/>
      <c r="N61" s="732"/>
      <c r="O61" s="732"/>
      <c r="P61" s="732"/>
      <c r="Q61" s="732"/>
      <c r="R61" s="732"/>
      <c r="S61" s="732"/>
      <c r="T61" s="732"/>
      <c r="U61" s="732"/>
      <c r="V61" s="732"/>
      <c r="W61" s="732"/>
      <c r="X61" s="732"/>
      <c r="Y61" s="64"/>
      <c r="Z61" s="732"/>
      <c r="AA61" s="732"/>
      <c r="AB61" s="732"/>
      <c r="AC61" s="732"/>
      <c r="AD61" s="732"/>
      <c r="AE61" s="64"/>
      <c r="AF61" s="722"/>
    </row>
    <row r="62" spans="1:34">
      <c r="A62" s="733"/>
      <c r="B62" s="733"/>
      <c r="C62" s="747"/>
      <c r="D62" s="747"/>
      <c r="E62" s="749"/>
      <c r="F62" s="749"/>
      <c r="G62" s="751"/>
      <c r="H62" s="751"/>
      <c r="I62" s="747"/>
      <c r="J62" s="747"/>
      <c r="K62" s="753"/>
      <c r="L62" s="723" t="s">
        <v>15</v>
      </c>
      <c r="M62" s="723"/>
      <c r="N62" s="723"/>
      <c r="O62" s="723" t="s">
        <v>16</v>
      </c>
      <c r="P62" s="723"/>
      <c r="Q62" s="723"/>
      <c r="R62" s="732" t="s">
        <v>55</v>
      </c>
      <c r="S62" s="732" t="s">
        <v>56</v>
      </c>
      <c r="T62" s="732" t="s">
        <v>33</v>
      </c>
      <c r="U62" s="730" t="s">
        <v>181</v>
      </c>
      <c r="V62" s="732" t="s">
        <v>22</v>
      </c>
      <c r="W62" s="732" t="s">
        <v>57</v>
      </c>
      <c r="X62" s="732"/>
      <c r="Y62" s="730" t="s">
        <v>181</v>
      </c>
      <c r="Z62" s="732"/>
      <c r="AA62" s="732"/>
      <c r="AB62" s="732"/>
      <c r="AC62" s="734" t="s">
        <v>56</v>
      </c>
      <c r="AD62" s="732" t="s">
        <v>33</v>
      </c>
      <c r="AE62" s="730" t="s">
        <v>181</v>
      </c>
      <c r="AF62" s="722"/>
    </row>
    <row r="63" spans="1:34">
      <c r="A63" s="733"/>
      <c r="B63" s="733"/>
      <c r="C63" s="747"/>
      <c r="D63" s="747"/>
      <c r="E63" s="749"/>
      <c r="F63" s="749"/>
      <c r="G63" s="751"/>
      <c r="H63" s="751"/>
      <c r="I63" s="747"/>
      <c r="J63" s="747"/>
      <c r="K63" s="753"/>
      <c r="L63" s="63" t="s">
        <v>17</v>
      </c>
      <c r="M63" s="63" t="s">
        <v>18</v>
      </c>
      <c r="N63" s="64" t="s">
        <v>54</v>
      </c>
      <c r="O63" s="65" t="s">
        <v>17</v>
      </c>
      <c r="P63" s="65" t="s">
        <v>18</v>
      </c>
      <c r="Q63" s="65" t="s">
        <v>54</v>
      </c>
      <c r="R63" s="732"/>
      <c r="S63" s="733"/>
      <c r="T63" s="733"/>
      <c r="U63" s="731"/>
      <c r="V63" s="733"/>
      <c r="W63" s="733"/>
      <c r="X63" s="732"/>
      <c r="Y63" s="731"/>
      <c r="Z63" s="732"/>
      <c r="AA63" s="732"/>
      <c r="AB63" s="732"/>
      <c r="AC63" s="732"/>
      <c r="AD63" s="732"/>
      <c r="AE63" s="731"/>
      <c r="AF63" s="722"/>
    </row>
    <row r="64" spans="1:34">
      <c r="A64" s="733"/>
      <c r="B64" s="733"/>
      <c r="C64" s="747"/>
      <c r="D64" s="66" t="s">
        <v>19</v>
      </c>
      <c r="E64" s="67" t="s">
        <v>38</v>
      </c>
      <c r="F64" s="67" t="s">
        <v>39</v>
      </c>
      <c r="G64" s="67" t="s">
        <v>3</v>
      </c>
      <c r="H64" s="67" t="s">
        <v>3</v>
      </c>
      <c r="I64" s="66" t="s">
        <v>2</v>
      </c>
      <c r="J64" s="66" t="s">
        <v>2</v>
      </c>
      <c r="K64" s="68" t="s">
        <v>4</v>
      </c>
      <c r="L64" s="66" t="s">
        <v>3</v>
      </c>
      <c r="M64" s="66" t="s">
        <v>42</v>
      </c>
      <c r="N64" s="66" t="s">
        <v>19</v>
      </c>
      <c r="O64" s="65" t="s">
        <v>3</v>
      </c>
      <c r="P64" s="65" t="s">
        <v>42</v>
      </c>
      <c r="Q64" s="65" t="s">
        <v>19</v>
      </c>
      <c r="R64" s="66" t="s">
        <v>42</v>
      </c>
      <c r="S64" s="66" t="s">
        <v>42</v>
      </c>
      <c r="T64" s="66" t="s">
        <v>42</v>
      </c>
      <c r="U64" s="159" t="s">
        <v>42</v>
      </c>
      <c r="V64" s="66" t="s">
        <v>42</v>
      </c>
      <c r="W64" s="66" t="s">
        <v>19</v>
      </c>
      <c r="X64" s="66" t="s">
        <v>42</v>
      </c>
      <c r="Y64" s="159" t="s">
        <v>42</v>
      </c>
      <c r="Z64" s="66" t="s">
        <v>42</v>
      </c>
      <c r="AA64" s="66" t="s">
        <v>42</v>
      </c>
      <c r="AB64" s="66" t="s">
        <v>42</v>
      </c>
      <c r="AC64" s="66" t="s">
        <v>42</v>
      </c>
      <c r="AD64" s="66" t="s">
        <v>42</v>
      </c>
      <c r="AE64" s="159" t="s">
        <v>42</v>
      </c>
      <c r="AF64" s="722"/>
      <c r="AG64" s="106">
        <v>0.2</v>
      </c>
    </row>
    <row r="65" spans="1:34" ht="14.4">
      <c r="A65" s="69" t="str">
        <f>'Design Criteria'!C27</f>
        <v>E002</v>
      </c>
      <c r="B65" s="70" t="str">
        <f>'Design Criteria'!D27</f>
        <v>LOGISTIC AIRLOCK OUT</v>
      </c>
      <c r="C65" s="71" t="str">
        <f>'Design Criteria'!F27</f>
        <v>NC</v>
      </c>
      <c r="D65" s="284">
        <f>'Design Criteria'!I27</f>
        <v>6</v>
      </c>
      <c r="E65" s="105">
        <f>'Design Criteria'!J27</f>
        <v>24.5</v>
      </c>
      <c r="F65" s="105">
        <f>'Design Criteria'!L27</f>
        <v>66.150000000000006</v>
      </c>
      <c r="G65" s="105">
        <f>'Design Criteria'!M27</f>
        <v>22</v>
      </c>
      <c r="H65" s="105">
        <f>'Design Criteria'!Q27</f>
        <v>22</v>
      </c>
      <c r="I65" s="72">
        <f>'Design Criteria'!AA27</f>
        <v>787.67499999999995</v>
      </c>
      <c r="J65" s="72">
        <f>'Design Criteria'!AB27</f>
        <v>496.12500000000006</v>
      </c>
      <c r="K65" s="173">
        <v>8</v>
      </c>
      <c r="L65" s="435">
        <v>18</v>
      </c>
      <c r="M65" s="135">
        <f>PRODUCT(I65,0.86,1/0.3,1/(G65-L65))</f>
        <v>564.50041666666664</v>
      </c>
      <c r="N65" s="134">
        <f>M65/F65</f>
        <v>8.5336419753086403</v>
      </c>
      <c r="O65" s="435">
        <v>24</v>
      </c>
      <c r="P65" s="134">
        <f>PRODUCT(J65,0.86,1/0.3,1/(O65-H65))</f>
        <v>711.11250000000007</v>
      </c>
      <c r="Q65" s="134">
        <f>P65/F65</f>
        <v>10.75</v>
      </c>
      <c r="R65" s="135">
        <f t="shared" ref="R65" si="66">D65*F65</f>
        <v>396.90000000000003</v>
      </c>
      <c r="S65" s="75">
        <f t="shared" ref="S65" si="67">MAXA(M65,P65)</f>
        <v>711.11250000000007</v>
      </c>
      <c r="T65" s="301">
        <v>1000</v>
      </c>
      <c r="U65" s="160">
        <f>_xlfn.CEILING.MATH(T65*(1+$AG$6),10)</f>
        <v>1200</v>
      </c>
      <c r="V65" s="74">
        <f t="shared" ref="V65" si="68">T65</f>
        <v>1000</v>
      </c>
      <c r="W65" s="73">
        <f t="shared" ref="W65" si="69">T65/F65</f>
        <v>15.117157974300831</v>
      </c>
      <c r="X65" s="136">
        <v>0</v>
      </c>
      <c r="Y65" s="160">
        <f t="shared" ref="Y65" si="70">_xlfn.CEILING.MATH(X65*(1+$AG$6),10)</f>
        <v>0</v>
      </c>
      <c r="Z65" s="74">
        <f t="shared" ref="Z65" si="71">V65-(T65-X65)</f>
        <v>0</v>
      </c>
      <c r="AA65" s="76">
        <f>-SUM('PerditeAria(NO PLOT)'!F170:F172)</f>
        <v>-400</v>
      </c>
      <c r="AB65" s="77">
        <f>'PerditeAria(NO PLOT)'!F194</f>
        <v>200</v>
      </c>
      <c r="AC65" s="74">
        <f t="shared" ref="AC65" si="72">SUM(T65,-X65,AA65,-AB65)</f>
        <v>400</v>
      </c>
      <c r="AD65" s="136">
        <f>_xlfn.CEILING.MATH(AC65,10)</f>
        <v>400</v>
      </c>
      <c r="AE65" s="160">
        <f t="shared" ref="AE65" si="73">_xlfn.CEILING.MATH(AD65*(1+$AG$6),10)</f>
        <v>480</v>
      </c>
      <c r="AF65" s="161"/>
    </row>
    <row r="66" spans="1:34">
      <c r="A66" s="69" t="str">
        <f>'Design Criteria'!C28</f>
        <v>E003</v>
      </c>
      <c r="B66" s="70" t="str">
        <f>'Design Criteria'!D28</f>
        <v>LOGISTIC AIRLOCK IN</v>
      </c>
      <c r="C66" s="71" t="str">
        <f>'Design Criteria'!F28</f>
        <v>NC</v>
      </c>
      <c r="D66" s="284">
        <f>'Design Criteria'!I28</f>
        <v>6</v>
      </c>
      <c r="E66" s="105">
        <f>'Design Criteria'!J28</f>
        <v>4.58</v>
      </c>
      <c r="F66" s="105">
        <f>'Design Criteria'!L28</f>
        <v>10.991999999999999</v>
      </c>
      <c r="G66" s="105">
        <f>'Design Criteria'!M28</f>
        <v>22</v>
      </c>
      <c r="H66" s="105">
        <f>'Design Criteria'!Q28</f>
        <v>22</v>
      </c>
      <c r="I66" s="72">
        <f>'Design Criteria'!AA28</f>
        <v>91.6</v>
      </c>
      <c r="J66" s="72">
        <f>'Design Criteria'!AB28</f>
        <v>0</v>
      </c>
      <c r="K66" s="173">
        <v>8</v>
      </c>
      <c r="L66" s="133">
        <v>20</v>
      </c>
      <c r="M66" s="135">
        <f>PRODUCT(I66,0.86,1/0.3,1/(G66-L66))</f>
        <v>131.29333333333332</v>
      </c>
      <c r="N66" s="134">
        <f>M66/F66</f>
        <v>11.944444444444445</v>
      </c>
      <c r="O66" s="133">
        <v>24</v>
      </c>
      <c r="P66" s="134">
        <f>PRODUCT(J66,0.86,1/0.3,1/(O66-H66))</f>
        <v>0</v>
      </c>
      <c r="Q66" s="134">
        <f>P66/F66</f>
        <v>0</v>
      </c>
      <c r="R66" s="135">
        <f t="shared" ref="R66" si="74">D66*F66</f>
        <v>65.951999999999998</v>
      </c>
      <c r="S66" s="75">
        <f t="shared" ref="S66" si="75">MAXA(M66,P66)</f>
        <v>131.29333333333332</v>
      </c>
      <c r="T66" s="301">
        <v>500</v>
      </c>
      <c r="U66" s="160">
        <f>_xlfn.CEILING.MATH(T66*(1+$AG$6),10)</f>
        <v>600</v>
      </c>
      <c r="V66" s="74">
        <f t="shared" ref="V66" si="76">T66</f>
        <v>500</v>
      </c>
      <c r="W66" s="73">
        <f t="shared" ref="W66" si="77">T66/F66</f>
        <v>45.48762736535663</v>
      </c>
      <c r="X66" s="136">
        <v>0</v>
      </c>
      <c r="Y66" s="160">
        <f t="shared" ref="Y66" si="78">_xlfn.CEILING.MATH(X66*(1+$AG$6),10)</f>
        <v>0</v>
      </c>
      <c r="Z66" s="74">
        <f t="shared" ref="Z66" si="79">V66-(T66-X66)</f>
        <v>0</v>
      </c>
      <c r="AA66" s="76">
        <f>-SUM('PerditeAria(NO PLOT)'!F168:F169)</f>
        <v>-270</v>
      </c>
      <c r="AB66" s="77">
        <f>'PerditeAria(NO PLOT)'!F193</f>
        <v>40</v>
      </c>
      <c r="AC66" s="74">
        <f t="shared" ref="AC66" si="80">SUM(T66,-X66,AA66,-AB66)</f>
        <v>190</v>
      </c>
      <c r="AD66" s="136">
        <f>_xlfn.CEILING.MATH(AC66,10)</f>
        <v>190</v>
      </c>
      <c r="AE66" s="160">
        <f t="shared" ref="AE66" si="81">_xlfn.CEILING.MATH(AD66*(1+$AG$6),10)</f>
        <v>230</v>
      </c>
      <c r="AF66" s="161"/>
    </row>
    <row r="67" spans="1:34">
      <c r="A67" s="736" t="s">
        <v>11</v>
      </c>
      <c r="B67" s="737"/>
      <c r="C67" s="78"/>
      <c r="D67" s="79"/>
      <c r="E67" s="81">
        <f>SUM(E65:E66)</f>
        <v>29.08</v>
      </c>
      <c r="F67" s="81">
        <f>SUM(F65:F66)</f>
        <v>77.14200000000001</v>
      </c>
      <c r="G67" s="80"/>
      <c r="H67" s="80"/>
      <c r="I67" s="80">
        <f>SUM(I65:I66)</f>
        <v>879.27499999999998</v>
      </c>
      <c r="J67" s="80">
        <f>SUM(J65:J66)</f>
        <v>496.12500000000006</v>
      </c>
      <c r="K67" s="80"/>
      <c r="L67" s="80"/>
      <c r="M67" s="80">
        <f>SUM(M65:M66)</f>
        <v>695.79374999999993</v>
      </c>
      <c r="N67" s="80"/>
      <c r="O67" s="80"/>
      <c r="P67" s="80">
        <f>SUM(P65:P66)</f>
        <v>711.11250000000007</v>
      </c>
      <c r="Q67" s="80"/>
      <c r="R67" s="80">
        <f>SUM(R65:R66)</f>
        <v>462.85200000000003</v>
      </c>
      <c r="S67" s="80">
        <f>SUM(S65:S66)</f>
        <v>842.40583333333336</v>
      </c>
      <c r="T67" s="80">
        <f>SUM(T65:T66)</f>
        <v>1500</v>
      </c>
      <c r="U67" s="80">
        <f>SUM(U66:U66)</f>
        <v>600</v>
      </c>
      <c r="V67" s="80">
        <f>SUM(V65:V66)</f>
        <v>1500</v>
      </c>
      <c r="W67" s="81"/>
      <c r="X67" s="80">
        <f>SUM(X65:X66)</f>
        <v>0</v>
      </c>
      <c r="Y67" s="80">
        <f>SUM(Y66:Y66)</f>
        <v>0</v>
      </c>
      <c r="Z67" s="80">
        <f>SUM(Z65:Z66)</f>
        <v>0</v>
      </c>
      <c r="AA67" s="80">
        <f>SUM(AA65:AA66)</f>
        <v>-670</v>
      </c>
      <c r="AB67" s="80">
        <f>SUM(AB65:AB66)</f>
        <v>240</v>
      </c>
      <c r="AC67" s="80">
        <f>SUM(AC65:AC66)</f>
        <v>590</v>
      </c>
      <c r="AD67" s="80">
        <f>SUM(AD65:AD66)</f>
        <v>590</v>
      </c>
      <c r="AE67" s="287">
        <f>SUM(AE66:AE66)</f>
        <v>230</v>
      </c>
      <c r="AF67" s="161"/>
    </row>
    <row r="68" spans="1:34" ht="12.75" customHeight="1" thickBot="1">
      <c r="G68" s="83"/>
      <c r="H68" s="84"/>
      <c r="S68" s="85"/>
    </row>
    <row r="69" spans="1:34" ht="15.75" customHeight="1">
      <c r="G69" s="84"/>
      <c r="H69" s="84"/>
      <c r="Q69" s="93"/>
      <c r="R69" s="116"/>
      <c r="S69" s="84"/>
      <c r="T69" s="738" t="s">
        <v>278</v>
      </c>
      <c r="U69" s="739"/>
      <c r="V69" s="740"/>
      <c r="W69" s="740"/>
      <c r="X69" s="740"/>
      <c r="Y69" s="740"/>
      <c r="Z69" s="740"/>
      <c r="AA69" s="740"/>
      <c r="AB69" s="87">
        <f>_xlfn.CEILING.MATH(T67*(1+$AG$64),100)</f>
        <v>1800</v>
      </c>
      <c r="AC69" s="88" t="s">
        <v>42</v>
      </c>
      <c r="AD69" s="116"/>
    </row>
    <row r="70" spans="1:34" ht="15.6">
      <c r="A70" s="111"/>
      <c r="G70" s="84"/>
      <c r="H70" s="84"/>
      <c r="N70" s="110"/>
      <c r="O70" s="22"/>
      <c r="S70" s="84"/>
      <c r="T70" s="724" t="s">
        <v>279</v>
      </c>
      <c r="U70" s="725"/>
      <c r="V70" s="726"/>
      <c r="W70" s="726"/>
      <c r="X70" s="726"/>
      <c r="Y70" s="726"/>
      <c r="Z70" s="726"/>
      <c r="AA70" s="726"/>
      <c r="AB70" s="162">
        <f>_xlfn.CEILING.MATH(AD67*(1+$AG$64),100)</f>
        <v>800</v>
      </c>
      <c r="AC70" s="89" t="s">
        <v>42</v>
      </c>
      <c r="AD70" s="116"/>
      <c r="AF70" s="90"/>
      <c r="AG70" s="289">
        <f>(AB70-AB71)/AB69</f>
        <v>0.44444444444444442</v>
      </c>
      <c r="AH70" s="288" t="s">
        <v>288</v>
      </c>
    </row>
    <row r="71" spans="1:34" ht="15.6">
      <c r="G71" s="84"/>
      <c r="H71" s="84"/>
      <c r="N71" s="110"/>
      <c r="O71" s="112"/>
      <c r="S71" s="84"/>
      <c r="T71" s="724" t="s">
        <v>280</v>
      </c>
      <c r="U71" s="725"/>
      <c r="V71" s="726"/>
      <c r="W71" s="726"/>
      <c r="X71" s="726"/>
      <c r="Y71" s="726"/>
      <c r="Z71" s="726"/>
      <c r="AA71" s="726"/>
      <c r="AB71" s="162">
        <v>0</v>
      </c>
      <c r="AC71" s="89" t="s">
        <v>42</v>
      </c>
      <c r="AD71" s="116"/>
      <c r="AF71" s="313"/>
      <c r="AG71" s="22">
        <f>_xlfn.CEILING.MATH(X67*(1+$AG$64),100)</f>
        <v>0</v>
      </c>
      <c r="AH71" s="288" t="s">
        <v>286</v>
      </c>
    </row>
    <row r="72" spans="1:34" ht="16.2" customHeight="1" thickBot="1">
      <c r="G72" s="84"/>
      <c r="H72" s="84"/>
      <c r="N72" s="110"/>
      <c r="O72" s="112"/>
      <c r="S72" s="84"/>
      <c r="T72" s="727" t="s">
        <v>281</v>
      </c>
      <c r="U72" s="728"/>
      <c r="V72" s="729"/>
      <c r="W72" s="729"/>
      <c r="X72" s="729"/>
      <c r="Y72" s="729"/>
      <c r="Z72" s="729"/>
      <c r="AA72" s="729"/>
      <c r="AB72" s="104">
        <f>AB69-AB70+AB71</f>
        <v>1000</v>
      </c>
      <c r="AC72" s="282" t="s">
        <v>42</v>
      </c>
      <c r="AD72" s="116"/>
      <c r="AG72" s="289">
        <f>AB72/AB69</f>
        <v>0.55555555555555558</v>
      </c>
      <c r="AH72" s="288" t="s">
        <v>287</v>
      </c>
    </row>
    <row r="73" spans="1:34">
      <c r="K73" s="62"/>
      <c r="N73" s="110"/>
      <c r="O73" s="112"/>
      <c r="S73" s="84"/>
      <c r="AC73" s="93"/>
    </row>
    <row r="74" spans="1:34" ht="13.8" thickBot="1"/>
    <row r="75" spans="1:34" ht="25.2" thickBot="1">
      <c r="A75" s="741" t="s">
        <v>419</v>
      </c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2"/>
      <c r="P75" s="742"/>
      <c r="Q75" s="742"/>
      <c r="R75" s="742"/>
      <c r="S75" s="742"/>
      <c r="T75" s="742"/>
      <c r="U75" s="742"/>
      <c r="V75" s="742"/>
      <c r="W75" s="742"/>
      <c r="X75" s="742"/>
      <c r="Y75" s="742"/>
      <c r="Z75" s="742"/>
      <c r="AA75" s="742"/>
      <c r="AB75" s="742"/>
      <c r="AC75" s="742"/>
      <c r="AD75" s="742"/>
      <c r="AE75" s="743"/>
      <c r="AF75" s="744"/>
    </row>
    <row r="76" spans="1:34">
      <c r="A76" s="745" t="s">
        <v>29</v>
      </c>
      <c r="B76" s="745" t="s">
        <v>8</v>
      </c>
      <c r="C76" s="746" t="s">
        <v>14</v>
      </c>
      <c r="D76" s="746" t="s">
        <v>52</v>
      </c>
      <c r="E76" s="748" t="s">
        <v>0</v>
      </c>
      <c r="F76" s="748" t="s">
        <v>1</v>
      </c>
      <c r="G76" s="750" t="s">
        <v>36</v>
      </c>
      <c r="H76" s="750" t="s">
        <v>35</v>
      </c>
      <c r="I76" s="746" t="s">
        <v>26</v>
      </c>
      <c r="J76" s="746" t="s">
        <v>25</v>
      </c>
      <c r="K76" s="752" t="s">
        <v>53</v>
      </c>
      <c r="L76" s="735" t="s">
        <v>31</v>
      </c>
      <c r="M76" s="735"/>
      <c r="N76" s="735"/>
      <c r="O76" s="735"/>
      <c r="P76" s="735"/>
      <c r="Q76" s="735"/>
      <c r="R76" s="735"/>
      <c r="S76" s="735"/>
      <c r="T76" s="735"/>
      <c r="U76" s="735"/>
      <c r="V76" s="735"/>
      <c r="W76" s="735"/>
      <c r="X76" s="754" t="s">
        <v>190</v>
      </c>
      <c r="Y76" s="153"/>
      <c r="Z76" s="735" t="s">
        <v>32</v>
      </c>
      <c r="AA76" s="735" t="s">
        <v>20</v>
      </c>
      <c r="AB76" s="735" t="s">
        <v>67</v>
      </c>
      <c r="AC76" s="735" t="s">
        <v>58</v>
      </c>
      <c r="AD76" s="735"/>
      <c r="AE76" s="153"/>
      <c r="AF76" s="721" t="s">
        <v>30</v>
      </c>
    </row>
    <row r="77" spans="1:34">
      <c r="A77" s="733"/>
      <c r="B77" s="733"/>
      <c r="C77" s="747"/>
      <c r="D77" s="747"/>
      <c r="E77" s="749"/>
      <c r="F77" s="749"/>
      <c r="G77" s="751"/>
      <c r="H77" s="751"/>
      <c r="I77" s="747"/>
      <c r="J77" s="747"/>
      <c r="K77" s="753"/>
      <c r="L77" s="732"/>
      <c r="M77" s="732"/>
      <c r="N77" s="732"/>
      <c r="O77" s="732"/>
      <c r="P77" s="732"/>
      <c r="Q77" s="732"/>
      <c r="R77" s="732"/>
      <c r="S77" s="732"/>
      <c r="T77" s="732"/>
      <c r="U77" s="732"/>
      <c r="V77" s="732"/>
      <c r="W77" s="732"/>
      <c r="X77" s="732"/>
      <c r="Y77" s="64"/>
      <c r="Z77" s="732"/>
      <c r="AA77" s="732"/>
      <c r="AB77" s="732"/>
      <c r="AC77" s="732"/>
      <c r="AD77" s="732"/>
      <c r="AE77" s="64"/>
      <c r="AF77" s="722"/>
    </row>
    <row r="78" spans="1:34">
      <c r="A78" s="733"/>
      <c r="B78" s="733"/>
      <c r="C78" s="747"/>
      <c r="D78" s="747"/>
      <c r="E78" s="749"/>
      <c r="F78" s="749"/>
      <c r="G78" s="751"/>
      <c r="H78" s="751"/>
      <c r="I78" s="747"/>
      <c r="J78" s="747"/>
      <c r="K78" s="753"/>
      <c r="L78" s="723" t="s">
        <v>15</v>
      </c>
      <c r="M78" s="723"/>
      <c r="N78" s="723"/>
      <c r="O78" s="723" t="s">
        <v>16</v>
      </c>
      <c r="P78" s="723"/>
      <c r="Q78" s="723"/>
      <c r="R78" s="732" t="s">
        <v>55</v>
      </c>
      <c r="S78" s="732" t="s">
        <v>56</v>
      </c>
      <c r="T78" s="732" t="s">
        <v>33</v>
      </c>
      <c r="U78" s="730" t="s">
        <v>181</v>
      </c>
      <c r="V78" s="732" t="s">
        <v>22</v>
      </c>
      <c r="W78" s="732" t="s">
        <v>57</v>
      </c>
      <c r="X78" s="732"/>
      <c r="Y78" s="730" t="s">
        <v>181</v>
      </c>
      <c r="Z78" s="732"/>
      <c r="AA78" s="732"/>
      <c r="AB78" s="732"/>
      <c r="AC78" s="734" t="s">
        <v>56</v>
      </c>
      <c r="AD78" s="732" t="s">
        <v>33</v>
      </c>
      <c r="AE78" s="730" t="s">
        <v>181</v>
      </c>
      <c r="AF78" s="722"/>
    </row>
    <row r="79" spans="1:34">
      <c r="A79" s="733"/>
      <c r="B79" s="733"/>
      <c r="C79" s="747"/>
      <c r="D79" s="747"/>
      <c r="E79" s="749"/>
      <c r="F79" s="749"/>
      <c r="G79" s="751"/>
      <c r="H79" s="751"/>
      <c r="I79" s="747"/>
      <c r="J79" s="747"/>
      <c r="K79" s="753"/>
      <c r="L79" s="63" t="s">
        <v>17</v>
      </c>
      <c r="M79" s="63" t="s">
        <v>18</v>
      </c>
      <c r="N79" s="64" t="s">
        <v>54</v>
      </c>
      <c r="O79" s="65" t="s">
        <v>17</v>
      </c>
      <c r="P79" s="65" t="s">
        <v>18</v>
      </c>
      <c r="Q79" s="65" t="s">
        <v>54</v>
      </c>
      <c r="R79" s="732"/>
      <c r="S79" s="733"/>
      <c r="T79" s="733"/>
      <c r="U79" s="731"/>
      <c r="V79" s="733"/>
      <c r="W79" s="733"/>
      <c r="X79" s="732"/>
      <c r="Y79" s="731"/>
      <c r="Z79" s="732"/>
      <c r="AA79" s="732"/>
      <c r="AB79" s="732"/>
      <c r="AC79" s="732"/>
      <c r="AD79" s="732"/>
      <c r="AE79" s="731"/>
      <c r="AF79" s="722"/>
    </row>
    <row r="80" spans="1:34">
      <c r="A80" s="733"/>
      <c r="B80" s="733"/>
      <c r="C80" s="747"/>
      <c r="D80" s="66" t="s">
        <v>19</v>
      </c>
      <c r="E80" s="67" t="s">
        <v>38</v>
      </c>
      <c r="F80" s="67" t="s">
        <v>39</v>
      </c>
      <c r="G80" s="67" t="s">
        <v>3</v>
      </c>
      <c r="H80" s="67" t="s">
        <v>3</v>
      </c>
      <c r="I80" s="66" t="s">
        <v>2</v>
      </c>
      <c r="J80" s="66" t="s">
        <v>2</v>
      </c>
      <c r="K80" s="68" t="s">
        <v>4</v>
      </c>
      <c r="L80" s="66" t="s">
        <v>3</v>
      </c>
      <c r="M80" s="66" t="s">
        <v>42</v>
      </c>
      <c r="N80" s="66" t="s">
        <v>19</v>
      </c>
      <c r="O80" s="65" t="s">
        <v>3</v>
      </c>
      <c r="P80" s="65" t="s">
        <v>42</v>
      </c>
      <c r="Q80" s="65" t="s">
        <v>19</v>
      </c>
      <c r="R80" s="66" t="s">
        <v>42</v>
      </c>
      <c r="S80" s="66" t="s">
        <v>42</v>
      </c>
      <c r="T80" s="66" t="s">
        <v>42</v>
      </c>
      <c r="U80" s="159" t="s">
        <v>42</v>
      </c>
      <c r="V80" s="66" t="s">
        <v>42</v>
      </c>
      <c r="W80" s="66" t="s">
        <v>19</v>
      </c>
      <c r="X80" s="66" t="s">
        <v>42</v>
      </c>
      <c r="Y80" s="159" t="s">
        <v>42</v>
      </c>
      <c r="Z80" s="66" t="s">
        <v>42</v>
      </c>
      <c r="AA80" s="66" t="s">
        <v>42</v>
      </c>
      <c r="AB80" s="66" t="s">
        <v>42</v>
      </c>
      <c r="AC80" s="66" t="s">
        <v>42</v>
      </c>
      <c r="AD80" s="66" t="s">
        <v>42</v>
      </c>
      <c r="AE80" s="159" t="s">
        <v>42</v>
      </c>
      <c r="AF80" s="722"/>
      <c r="AG80" s="106">
        <v>0.2</v>
      </c>
    </row>
    <row r="81" spans="1:37">
      <c r="A81" s="69" t="str">
        <f>'Design Criteria'!C30</f>
        <v>0605/0311</v>
      </c>
      <c r="B81" s="69" t="str">
        <f>'Design Criteria'!D30</f>
        <v>WAREHOUSE NORTH SIDE / CORRIDOR</v>
      </c>
      <c r="C81" s="71" t="str">
        <f>'Design Criteria'!F30</f>
        <v>NC</v>
      </c>
      <c r="D81" s="284">
        <f>'Design Criteria'!H30</f>
        <v>3</v>
      </c>
      <c r="E81" s="105">
        <f>'Design Criteria'!J30</f>
        <v>682</v>
      </c>
      <c r="F81" s="105">
        <f>'Design Criteria'!L30</f>
        <v>2046</v>
      </c>
      <c r="G81" s="105">
        <f>'Design Criteria'!M30</f>
        <v>22</v>
      </c>
      <c r="H81" s="105">
        <f>'Design Criteria'!Q30</f>
        <v>22</v>
      </c>
      <c r="I81" s="72">
        <f>'Design Criteria'!AA30</f>
        <v>16260</v>
      </c>
      <c r="J81" s="72">
        <f>'Design Criteria'!AB30</f>
        <v>0</v>
      </c>
      <c r="K81" s="173">
        <v>0</v>
      </c>
      <c r="L81" s="133">
        <v>14.5</v>
      </c>
      <c r="M81" s="135">
        <f>PRODUCT(I81,0.86,1/0.3,1/(G81-L81))</f>
        <v>6214.9333333333334</v>
      </c>
      <c r="N81" s="134">
        <f>M81/F81</f>
        <v>3.0376018246985987</v>
      </c>
      <c r="O81" s="133">
        <v>24</v>
      </c>
      <c r="P81" s="134">
        <f>PRODUCT(J81,0.86,1/0.3,1/(O81-H81))</f>
        <v>0</v>
      </c>
      <c r="Q81" s="134">
        <f>P81/F81</f>
        <v>0</v>
      </c>
      <c r="R81" s="135">
        <f>D81*F81</f>
        <v>6138</v>
      </c>
      <c r="S81" s="75">
        <f>MAXA(M81,P81)</f>
        <v>6214.9333333333334</v>
      </c>
      <c r="T81" s="136">
        <f>_xlfn.CEILING.MATH(MAX(R81:S81),10)</f>
        <v>6220</v>
      </c>
      <c r="U81" s="160"/>
      <c r="V81" s="74">
        <f t="shared" ref="V81" si="82">T81</f>
        <v>6220</v>
      </c>
      <c r="W81" s="73">
        <f t="shared" ref="W81" si="83">T81/F81</f>
        <v>3.0400782013685239</v>
      </c>
      <c r="X81" s="136">
        <v>0</v>
      </c>
      <c r="Y81" s="160"/>
      <c r="Z81" s="74">
        <f t="shared" ref="Z81" si="84">V81-(T81-X81)</f>
        <v>0</v>
      </c>
      <c r="AA81" s="76">
        <f>-SUM('PerditeAria(NO PLOT)'!F163:F163)</f>
        <v>110</v>
      </c>
      <c r="AB81" s="77">
        <f>'PerditeAria(NO PLOT)'!F189</f>
        <v>0</v>
      </c>
      <c r="AC81" s="74">
        <f t="shared" ref="AC81" si="85">SUM(T81,-X81,AA81,-AB81)</f>
        <v>6330</v>
      </c>
      <c r="AD81" s="136">
        <f>_xlfn.CEILING.MATH(AC81,10)</f>
        <v>6330</v>
      </c>
      <c r="AE81" s="160"/>
      <c r="AF81" s="161"/>
    </row>
    <row r="82" spans="1:37" ht="14.4">
      <c r="A82" s="69" t="str">
        <f>'Design Criteria'!C31</f>
        <v>0606</v>
      </c>
      <c r="B82" s="69" t="str">
        <f>'Design Criteria'!D31</f>
        <v>NO BETA AREA CORRIDOR</v>
      </c>
      <c r="C82" s="71" t="str">
        <f>'Design Criteria'!F31</f>
        <v>NC</v>
      </c>
      <c r="D82" s="284">
        <f>'Design Criteria'!H31</f>
        <v>3</v>
      </c>
      <c r="E82" s="105">
        <f>'Design Criteria'!J31</f>
        <v>228</v>
      </c>
      <c r="F82" s="105">
        <f>'Design Criteria'!L31</f>
        <v>769.5</v>
      </c>
      <c r="G82" s="105">
        <f>'Design Criteria'!M31</f>
        <v>22</v>
      </c>
      <c r="H82" s="105">
        <f>'Design Criteria'!Q31</f>
        <v>22</v>
      </c>
      <c r="I82" s="72">
        <f>'Design Criteria'!AA31</f>
        <v>9946.5</v>
      </c>
      <c r="J82" s="72">
        <f>'Design Criteria'!AB31</f>
        <v>3078</v>
      </c>
      <c r="K82" s="173">
        <v>0</v>
      </c>
      <c r="L82" s="435">
        <v>15.5</v>
      </c>
      <c r="M82" s="135">
        <f>PRODUCT(I82,0.86,1/0.3,1/(G82-L82))</f>
        <v>4386.6615384615388</v>
      </c>
      <c r="N82" s="134">
        <f>M82/F82</f>
        <v>5.7006647673314346</v>
      </c>
      <c r="O82" s="435">
        <v>26</v>
      </c>
      <c r="P82" s="134">
        <f>PRODUCT(J82,0.86,1/0.3,1/(O82-H82))</f>
        <v>2205.9</v>
      </c>
      <c r="Q82" s="134">
        <f>P82/F82</f>
        <v>2.8666666666666667</v>
      </c>
      <c r="R82" s="135">
        <f>D82*F82</f>
        <v>2308.5</v>
      </c>
      <c r="S82" s="75">
        <f>MAXA(M82,P82)</f>
        <v>4386.6615384615388</v>
      </c>
      <c r="T82" s="301">
        <v>4510</v>
      </c>
      <c r="U82" s="160"/>
      <c r="V82" s="74">
        <f>T82</f>
        <v>4510</v>
      </c>
      <c r="W82" s="73">
        <f>T82/F82</f>
        <v>5.8609486679662117</v>
      </c>
      <c r="X82" s="136">
        <v>0</v>
      </c>
      <c r="Y82" s="160"/>
      <c r="Z82" s="74">
        <f>V82-(T82-X82)</f>
        <v>0</v>
      </c>
      <c r="AA82" s="76">
        <f>-SUM('PerditeAria(NO PLOT)'!F164:F164)</f>
        <v>-170</v>
      </c>
      <c r="AB82" s="77">
        <f>'PerditeAria(NO PLOT)'!F190</f>
        <v>0</v>
      </c>
      <c r="AC82" s="74">
        <f>SUM(T82,-X82,AA82,-AB82)</f>
        <v>4340</v>
      </c>
      <c r="AD82" s="136">
        <f>_xlfn.CEILING.MATH(AC82,10)</f>
        <v>4340</v>
      </c>
      <c r="AE82" s="160"/>
      <c r="AF82" s="161"/>
    </row>
    <row r="83" spans="1:37" ht="14.4">
      <c r="A83" s="69" t="str">
        <f>'Design Criteria'!C32</f>
        <v>0615</v>
      </c>
      <c r="B83" s="69" t="str">
        <f>'Design Criteria'!D32</f>
        <v>WASTE MATERIAL EXIT</v>
      </c>
      <c r="C83" s="71" t="str">
        <f>'Design Criteria'!F32</f>
        <v>NC</v>
      </c>
      <c r="D83" s="284">
        <f>'Design Criteria'!H32</f>
        <v>3</v>
      </c>
      <c r="E83" s="105">
        <f>'Design Criteria'!J32</f>
        <v>24.3</v>
      </c>
      <c r="F83" s="105">
        <f>'Design Criteria'!L32</f>
        <v>87.48</v>
      </c>
      <c r="G83" s="105">
        <f>'Design Criteria'!M32</f>
        <v>22</v>
      </c>
      <c r="H83" s="105">
        <f>'Design Criteria'!Q32</f>
        <v>22</v>
      </c>
      <c r="I83" s="72">
        <f>'Design Criteria'!AA32</f>
        <v>989.01</v>
      </c>
      <c r="J83" s="72">
        <f>'Design Criteria'!AB32</f>
        <v>721.71</v>
      </c>
      <c r="K83" s="173">
        <v>-10</v>
      </c>
      <c r="L83" s="435">
        <f>L82</f>
        <v>15.5</v>
      </c>
      <c r="M83" s="135">
        <f t="shared" ref="M83" si="86">PRODUCT(I83,0.86,1/0.3,1/(G83-L83))</f>
        <v>436.17876923076921</v>
      </c>
      <c r="N83" s="134">
        <f t="shared" ref="N83" si="87">M83/F83</f>
        <v>4.9860398860398858</v>
      </c>
      <c r="O83" s="435">
        <f>O82</f>
        <v>26</v>
      </c>
      <c r="P83" s="134">
        <f t="shared" ref="P83" si="88">PRODUCT(J83,0.86,1/0.3,1/(O83-H83))</f>
        <v>517.22550000000001</v>
      </c>
      <c r="Q83" s="134">
        <f t="shared" ref="Q83" si="89">P83/F83</f>
        <v>5.9124999999999996</v>
      </c>
      <c r="R83" s="135">
        <f t="shared" ref="R83" si="90">D83*F83</f>
        <v>262.44</v>
      </c>
      <c r="S83" s="75">
        <f t="shared" ref="S83" si="91">MAXA(M83,P83)</f>
        <v>517.22550000000001</v>
      </c>
      <c r="T83" s="136">
        <f>_xlfn.CEILING.MATH(MAX(R83:S83),10)</f>
        <v>520</v>
      </c>
      <c r="U83" s="160">
        <f t="shared" ref="U83" si="92">_xlfn.CEILING.MATH(T83*(1+$AG$6),10)</f>
        <v>630</v>
      </c>
      <c r="V83" s="74">
        <f t="shared" ref="V83" si="93">T83</f>
        <v>520</v>
      </c>
      <c r="W83" s="73">
        <f t="shared" ref="W83" si="94">T83/F83</f>
        <v>5.9442158207590303</v>
      </c>
      <c r="X83" s="136">
        <v>0</v>
      </c>
      <c r="Y83" s="160">
        <f t="shared" ref="Y83" si="95">_xlfn.CEILING.MATH(X83*(1+$AG$6),10)</f>
        <v>0</v>
      </c>
      <c r="Z83" s="74">
        <f t="shared" ref="Z83" si="96">V83-(T83-X83)</f>
        <v>0</v>
      </c>
      <c r="AA83" s="76">
        <f>-SUM('PerditeAria(NO PLOT)'!F165:F166)</f>
        <v>340</v>
      </c>
      <c r="AB83" s="77">
        <f>'PerditeAria(NO PLOT)'!F191</f>
        <v>-240</v>
      </c>
      <c r="AC83" s="74">
        <f t="shared" ref="AC83" si="97">SUM(T83,-X83,AA83,-AB83)</f>
        <v>1100</v>
      </c>
      <c r="AD83" s="136">
        <f t="shared" ref="AD83" si="98">_xlfn.CEILING.MATH(AC83,10)</f>
        <v>1100</v>
      </c>
      <c r="AE83" s="160">
        <f t="shared" ref="AE83" si="99">_xlfn.CEILING.MATH(AD83*(1+$AG$6),10)</f>
        <v>1320</v>
      </c>
      <c r="AF83" s="161"/>
    </row>
    <row r="84" spans="1:37">
      <c r="A84" s="736" t="s">
        <v>11</v>
      </c>
      <c r="B84" s="737"/>
      <c r="C84" s="78"/>
      <c r="D84" s="79"/>
      <c r="E84" s="81">
        <f>SUM(E81:E83)</f>
        <v>934.3</v>
      </c>
      <c r="F84" s="81">
        <f>SUM(F81:F83)</f>
        <v>2902.98</v>
      </c>
      <c r="G84" s="80"/>
      <c r="H84" s="80"/>
      <c r="I84" s="80">
        <f>SUM(I81:I83)</f>
        <v>27195.51</v>
      </c>
      <c r="J84" s="80">
        <f>SUM(J81:J83)</f>
        <v>3799.71</v>
      </c>
      <c r="K84" s="80"/>
      <c r="L84" s="80"/>
      <c r="M84" s="80">
        <f>SUM(M81:M83)</f>
        <v>11037.773641025642</v>
      </c>
      <c r="N84" s="80"/>
      <c r="O84" s="80"/>
      <c r="P84" s="80">
        <f>SUM(P81:P83)</f>
        <v>2723.1255000000001</v>
      </c>
      <c r="Q84" s="80"/>
      <c r="R84" s="80">
        <f>SUM(R81:R83)</f>
        <v>8708.94</v>
      </c>
      <c r="S84" s="80">
        <f>SUM(S81:S83)</f>
        <v>11118.820371794873</v>
      </c>
      <c r="T84" s="80">
        <f>SUM(T81:T83)</f>
        <v>11250</v>
      </c>
      <c r="U84" s="80">
        <f>SUM(U81:V83)</f>
        <v>11880</v>
      </c>
      <c r="V84" s="80">
        <f>SUM(V81:V83)</f>
        <v>11250</v>
      </c>
      <c r="W84" s="81"/>
      <c r="X84" s="80">
        <f>SUM(X81:X83)</f>
        <v>0</v>
      </c>
      <c r="Y84" s="80">
        <f>SUM(Y81:Z83)</f>
        <v>0</v>
      </c>
      <c r="Z84" s="80">
        <f>SUM(Z81:Z83)</f>
        <v>0</v>
      </c>
      <c r="AA84" s="80">
        <f>SUM(AA81:AA83)</f>
        <v>280</v>
      </c>
      <c r="AB84" s="80">
        <f>SUM(AB81:AB83)</f>
        <v>-240</v>
      </c>
      <c r="AC84" s="80">
        <f>SUM(AC81:AC83)</f>
        <v>11770</v>
      </c>
      <c r="AD84" s="80">
        <f>SUM(AD81:AD83)</f>
        <v>11770</v>
      </c>
      <c r="AE84" s="287">
        <f>SUM(AE56:AE83)</f>
        <v>2260</v>
      </c>
      <c r="AF84" s="161"/>
    </row>
    <row r="85" spans="1:37" ht="13.8" thickBot="1">
      <c r="G85" s="83"/>
      <c r="H85" s="84"/>
      <c r="S85" s="85"/>
    </row>
    <row r="86" spans="1:37" ht="15.6">
      <c r="G86" s="84"/>
      <c r="H86" s="84"/>
      <c r="Q86" s="93"/>
      <c r="R86" s="116"/>
      <c r="S86" s="84"/>
      <c r="T86" s="738" t="s">
        <v>278</v>
      </c>
      <c r="U86" s="739"/>
      <c r="V86" s="740"/>
      <c r="W86" s="740"/>
      <c r="X86" s="740"/>
      <c r="Y86" s="740"/>
      <c r="Z86" s="740"/>
      <c r="AA86" s="740"/>
      <c r="AB86" s="87">
        <f>_xlfn.CEILING.MATH(T84*(1+$AG$80),100)</f>
        <v>13500</v>
      </c>
      <c r="AC86" s="88" t="s">
        <v>42</v>
      </c>
      <c r="AD86" s="116"/>
    </row>
    <row r="87" spans="1:37" ht="15.6">
      <c r="A87" s="111"/>
      <c r="G87" s="84"/>
      <c r="H87" s="84"/>
      <c r="N87" s="110"/>
      <c r="O87" s="22"/>
      <c r="S87" s="84"/>
      <c r="T87" s="724" t="s">
        <v>279</v>
      </c>
      <c r="U87" s="725"/>
      <c r="V87" s="726"/>
      <c r="W87" s="726"/>
      <c r="X87" s="726"/>
      <c r="Y87" s="726"/>
      <c r="Z87" s="726"/>
      <c r="AA87" s="726"/>
      <c r="AB87" s="162">
        <f>_xlfn.CEILING.MATH(AD84*(1+$AG$80),100)</f>
        <v>14200</v>
      </c>
      <c r="AC87" s="89" t="s">
        <v>42</v>
      </c>
      <c r="AF87" s="90"/>
      <c r="AG87" s="289">
        <f>(AB87-AB88)/AB86</f>
        <v>0.97037037037037033</v>
      </c>
      <c r="AH87" s="288" t="s">
        <v>288</v>
      </c>
    </row>
    <row r="88" spans="1:37" ht="15.6">
      <c r="G88" s="84"/>
      <c r="H88" s="84"/>
      <c r="N88" s="110"/>
      <c r="O88" s="112"/>
      <c r="S88" s="84"/>
      <c r="T88" s="724" t="s">
        <v>280</v>
      </c>
      <c r="U88" s="725"/>
      <c r="V88" s="726"/>
      <c r="W88" s="726"/>
      <c r="X88" s="726"/>
      <c r="Y88" s="726"/>
      <c r="Z88" s="726"/>
      <c r="AA88" s="726"/>
      <c r="AB88" s="162">
        <v>1100</v>
      </c>
      <c r="AC88" s="89" t="s">
        <v>42</v>
      </c>
      <c r="AF88" s="91"/>
      <c r="AG88" s="22">
        <f>_xlfn.CEILING.MATH(X84*(1+$AG$80),100)</f>
        <v>0</v>
      </c>
      <c r="AH88" s="288" t="s">
        <v>286</v>
      </c>
    </row>
    <row r="89" spans="1:37" ht="16.2" thickBot="1">
      <c r="G89" s="84"/>
      <c r="H89" s="84"/>
      <c r="N89" s="110"/>
      <c r="O89" s="112"/>
      <c r="S89" s="84"/>
      <c r="T89" s="727" t="s">
        <v>281</v>
      </c>
      <c r="U89" s="728"/>
      <c r="V89" s="729"/>
      <c r="W89" s="729"/>
      <c r="X89" s="729"/>
      <c r="Y89" s="729"/>
      <c r="Z89" s="729"/>
      <c r="AA89" s="729"/>
      <c r="AB89" s="104">
        <f>AB86-AB87+AB88</f>
        <v>400</v>
      </c>
      <c r="AC89" s="282" t="s">
        <v>42</v>
      </c>
      <c r="AG89" s="289">
        <f>AB89/AB86</f>
        <v>2.9629629629629631E-2</v>
      </c>
      <c r="AH89" s="288" t="s">
        <v>287</v>
      </c>
      <c r="AK89" s="365"/>
    </row>
    <row r="90" spans="1:37">
      <c r="K90" s="62"/>
      <c r="N90" s="110"/>
      <c r="O90" s="112"/>
      <c r="S90" s="84"/>
      <c r="AC90" s="93"/>
    </row>
    <row r="91" spans="1:37" ht="13.8" thickBot="1"/>
    <row r="92" spans="1:37" ht="25.2" thickBot="1">
      <c r="A92" s="741" t="s">
        <v>505</v>
      </c>
      <c r="B92" s="755"/>
      <c r="C92" s="755"/>
      <c r="D92" s="755"/>
      <c r="E92" s="755"/>
      <c r="F92" s="755"/>
      <c r="G92" s="755"/>
      <c r="H92" s="755"/>
      <c r="I92" s="755"/>
      <c r="J92" s="755"/>
      <c r="K92" s="755"/>
      <c r="L92" s="755"/>
      <c r="M92" s="755"/>
      <c r="N92" s="755"/>
      <c r="O92" s="755"/>
      <c r="P92" s="755"/>
      <c r="Q92" s="755"/>
      <c r="R92" s="755"/>
      <c r="S92" s="755"/>
      <c r="T92" s="755"/>
      <c r="U92" s="755"/>
      <c r="V92" s="755"/>
      <c r="W92" s="755"/>
      <c r="X92" s="755"/>
      <c r="Y92" s="755"/>
      <c r="Z92" s="755"/>
      <c r="AA92" s="755"/>
      <c r="AB92" s="755"/>
      <c r="AC92" s="755"/>
      <c r="AD92" s="755"/>
      <c r="AE92" s="756"/>
      <c r="AF92" s="757"/>
    </row>
    <row r="93" spans="1:37">
      <c r="A93" s="745" t="s">
        <v>29</v>
      </c>
      <c r="B93" s="745" t="s">
        <v>8</v>
      </c>
      <c r="C93" s="746" t="s">
        <v>14</v>
      </c>
      <c r="D93" s="746" t="s">
        <v>52</v>
      </c>
      <c r="E93" s="748" t="s">
        <v>0</v>
      </c>
      <c r="F93" s="748" t="s">
        <v>1</v>
      </c>
      <c r="G93" s="750" t="s">
        <v>36</v>
      </c>
      <c r="H93" s="750" t="s">
        <v>35</v>
      </c>
      <c r="I93" s="746" t="s">
        <v>26</v>
      </c>
      <c r="J93" s="746" t="s">
        <v>25</v>
      </c>
      <c r="K93" s="752" t="s">
        <v>53</v>
      </c>
      <c r="L93" s="735" t="s">
        <v>31</v>
      </c>
      <c r="M93" s="735"/>
      <c r="N93" s="735"/>
      <c r="O93" s="735"/>
      <c r="P93" s="735"/>
      <c r="Q93" s="735"/>
      <c r="R93" s="735"/>
      <c r="S93" s="735"/>
      <c r="T93" s="735"/>
      <c r="U93" s="735"/>
      <c r="V93" s="735"/>
      <c r="W93" s="735"/>
      <c r="X93" s="754" t="s">
        <v>190</v>
      </c>
      <c r="Y93" s="153"/>
      <c r="Z93" s="735" t="s">
        <v>32</v>
      </c>
      <c r="AA93" s="735" t="s">
        <v>20</v>
      </c>
      <c r="AB93" s="735" t="s">
        <v>67</v>
      </c>
      <c r="AC93" s="735" t="s">
        <v>58</v>
      </c>
      <c r="AD93" s="735"/>
      <c r="AE93" s="153"/>
      <c r="AF93" s="721" t="s">
        <v>30</v>
      </c>
    </row>
    <row r="94" spans="1:37">
      <c r="A94" s="733"/>
      <c r="B94" s="733"/>
      <c r="C94" s="747"/>
      <c r="D94" s="747"/>
      <c r="E94" s="749"/>
      <c r="F94" s="749"/>
      <c r="G94" s="751"/>
      <c r="H94" s="751"/>
      <c r="I94" s="747"/>
      <c r="J94" s="747"/>
      <c r="K94" s="753"/>
      <c r="L94" s="732"/>
      <c r="M94" s="732"/>
      <c r="N94" s="732"/>
      <c r="O94" s="732"/>
      <c r="P94" s="732"/>
      <c r="Q94" s="732"/>
      <c r="R94" s="732"/>
      <c r="S94" s="732"/>
      <c r="T94" s="732"/>
      <c r="U94" s="732"/>
      <c r="V94" s="732"/>
      <c r="W94" s="732"/>
      <c r="X94" s="732"/>
      <c r="Y94" s="64"/>
      <c r="Z94" s="732"/>
      <c r="AA94" s="732"/>
      <c r="AB94" s="732"/>
      <c r="AC94" s="732"/>
      <c r="AD94" s="732"/>
      <c r="AE94" s="64"/>
      <c r="AF94" s="722"/>
    </row>
    <row r="95" spans="1:37">
      <c r="A95" s="733"/>
      <c r="B95" s="733"/>
      <c r="C95" s="747"/>
      <c r="D95" s="747"/>
      <c r="E95" s="749"/>
      <c r="F95" s="749"/>
      <c r="G95" s="751"/>
      <c r="H95" s="751"/>
      <c r="I95" s="747"/>
      <c r="J95" s="747"/>
      <c r="K95" s="753"/>
      <c r="L95" s="723" t="s">
        <v>15</v>
      </c>
      <c r="M95" s="723"/>
      <c r="N95" s="723"/>
      <c r="O95" s="723" t="s">
        <v>16</v>
      </c>
      <c r="P95" s="723"/>
      <c r="Q95" s="723"/>
      <c r="R95" s="732" t="s">
        <v>55</v>
      </c>
      <c r="S95" s="732" t="s">
        <v>56</v>
      </c>
      <c r="T95" s="732" t="s">
        <v>33</v>
      </c>
      <c r="U95" s="730" t="s">
        <v>181</v>
      </c>
      <c r="V95" s="732" t="s">
        <v>22</v>
      </c>
      <c r="W95" s="732" t="s">
        <v>57</v>
      </c>
      <c r="X95" s="732"/>
      <c r="Y95" s="730" t="s">
        <v>181</v>
      </c>
      <c r="Z95" s="732"/>
      <c r="AA95" s="732"/>
      <c r="AB95" s="732"/>
      <c r="AC95" s="734" t="s">
        <v>56</v>
      </c>
      <c r="AD95" s="732" t="s">
        <v>33</v>
      </c>
      <c r="AE95" s="730" t="s">
        <v>181</v>
      </c>
      <c r="AF95" s="722"/>
    </row>
    <row r="96" spans="1:37">
      <c r="A96" s="733"/>
      <c r="B96" s="733"/>
      <c r="C96" s="747"/>
      <c r="D96" s="747"/>
      <c r="E96" s="749"/>
      <c r="F96" s="749"/>
      <c r="G96" s="751"/>
      <c r="H96" s="751"/>
      <c r="I96" s="747"/>
      <c r="J96" s="747"/>
      <c r="K96" s="753"/>
      <c r="L96" s="63" t="s">
        <v>17</v>
      </c>
      <c r="M96" s="63" t="s">
        <v>18</v>
      </c>
      <c r="N96" s="64" t="s">
        <v>54</v>
      </c>
      <c r="O96" s="65" t="s">
        <v>17</v>
      </c>
      <c r="P96" s="65" t="s">
        <v>18</v>
      </c>
      <c r="Q96" s="65" t="s">
        <v>54</v>
      </c>
      <c r="R96" s="732"/>
      <c r="S96" s="733"/>
      <c r="T96" s="733"/>
      <c r="U96" s="731"/>
      <c r="V96" s="733"/>
      <c r="W96" s="733"/>
      <c r="X96" s="732"/>
      <c r="Y96" s="731"/>
      <c r="Z96" s="732"/>
      <c r="AA96" s="732"/>
      <c r="AB96" s="732"/>
      <c r="AC96" s="732"/>
      <c r="AD96" s="732"/>
      <c r="AE96" s="731"/>
      <c r="AF96" s="722"/>
    </row>
    <row r="97" spans="1:37">
      <c r="A97" s="733"/>
      <c r="B97" s="733"/>
      <c r="C97" s="747"/>
      <c r="D97" s="66" t="s">
        <v>19</v>
      </c>
      <c r="E97" s="67" t="s">
        <v>38</v>
      </c>
      <c r="F97" s="67" t="s">
        <v>39</v>
      </c>
      <c r="G97" s="67" t="s">
        <v>3</v>
      </c>
      <c r="H97" s="67" t="s">
        <v>3</v>
      </c>
      <c r="I97" s="66" t="s">
        <v>2</v>
      </c>
      <c r="J97" s="66" t="s">
        <v>2</v>
      </c>
      <c r="K97" s="68" t="s">
        <v>4</v>
      </c>
      <c r="L97" s="66" t="s">
        <v>3</v>
      </c>
      <c r="M97" s="66" t="s">
        <v>42</v>
      </c>
      <c r="N97" s="66" t="s">
        <v>19</v>
      </c>
      <c r="O97" s="65" t="s">
        <v>3</v>
      </c>
      <c r="P97" s="65" t="s">
        <v>42</v>
      </c>
      <c r="Q97" s="65" t="s">
        <v>19</v>
      </c>
      <c r="R97" s="66" t="s">
        <v>42</v>
      </c>
      <c r="S97" s="66" t="s">
        <v>42</v>
      </c>
      <c r="T97" s="66" t="s">
        <v>42</v>
      </c>
      <c r="U97" s="159" t="s">
        <v>42</v>
      </c>
      <c r="V97" s="66" t="s">
        <v>42</v>
      </c>
      <c r="W97" s="66" t="s">
        <v>19</v>
      </c>
      <c r="X97" s="66" t="s">
        <v>42</v>
      </c>
      <c r="Y97" s="159" t="s">
        <v>42</v>
      </c>
      <c r="Z97" s="66" t="s">
        <v>42</v>
      </c>
      <c r="AA97" s="66" t="s">
        <v>42</v>
      </c>
      <c r="AB97" s="66" t="s">
        <v>42</v>
      </c>
      <c r="AC97" s="66" t="s">
        <v>42</v>
      </c>
      <c r="AD97" s="66" t="s">
        <v>42</v>
      </c>
      <c r="AE97" s="159" t="s">
        <v>42</v>
      </c>
      <c r="AF97" s="722"/>
      <c r="AG97" s="106">
        <v>0.15</v>
      </c>
    </row>
    <row r="98" spans="1:37">
      <c r="A98" s="69" t="str">
        <f>'Design Criteria'!C34</f>
        <v>B001</v>
      </c>
      <c r="B98" s="69" t="str">
        <f>'Design Criteria'!D34</f>
        <v>DS STORAGE</v>
      </c>
      <c r="C98" s="71" t="str">
        <f>'Design Criteria'!F34</f>
        <v>NC</v>
      </c>
      <c r="D98" s="284">
        <f>'Design Criteria'!I34</f>
        <v>3</v>
      </c>
      <c r="E98" s="105">
        <f>'Design Criteria'!J34</f>
        <v>37.18</v>
      </c>
      <c r="F98" s="105">
        <f>'Design Criteria'!L34</f>
        <v>100.38600000000001</v>
      </c>
      <c r="G98" s="105">
        <f>'Design Criteria'!M34</f>
        <v>22</v>
      </c>
      <c r="H98" s="105">
        <f>'Design Criteria'!Q34</f>
        <v>22</v>
      </c>
      <c r="I98" s="72">
        <f>'Design Criteria'!AA34</f>
        <v>5820.8195000000005</v>
      </c>
      <c r="J98" s="72">
        <f>'Design Criteria'!AB34</f>
        <v>828.18450000000007</v>
      </c>
      <c r="K98" s="173">
        <v>0</v>
      </c>
      <c r="L98" s="133" t="s">
        <v>154</v>
      </c>
      <c r="M98" s="135" t="s">
        <v>154</v>
      </c>
      <c r="N98" s="135" t="s">
        <v>154</v>
      </c>
      <c r="O98" s="133" t="s">
        <v>154</v>
      </c>
      <c r="P98" s="135" t="s">
        <v>154</v>
      </c>
      <c r="Q98" s="135" t="s">
        <v>154</v>
      </c>
      <c r="R98" s="135">
        <f t="shared" ref="R98:R100" si="100">D98*F98</f>
        <v>301.15800000000002</v>
      </c>
      <c r="S98" s="75">
        <f t="shared" ref="S98:S100" si="101">MAXA(M98,P98)</f>
        <v>0</v>
      </c>
      <c r="T98" s="136">
        <f t="shared" ref="T98" si="102">_xlfn.CEILING.MATH(MAX(R98:S98),10)</f>
        <v>310</v>
      </c>
      <c r="U98" s="160">
        <f>_xlfn.CEILING.MATH(T98*(1+$AG$6),10)</f>
        <v>380</v>
      </c>
      <c r="V98" s="74">
        <f t="shared" ref="V98" si="103">T98</f>
        <v>310</v>
      </c>
      <c r="W98" s="73">
        <f t="shared" ref="W98" si="104">T98/F98</f>
        <v>3.0880800111569338</v>
      </c>
      <c r="X98" s="301">
        <v>460</v>
      </c>
      <c r="Y98" s="160">
        <f t="shared" ref="Y98:Y100" si="105">_xlfn.CEILING.MATH(X98*(1+$AG$6),10)</f>
        <v>560</v>
      </c>
      <c r="Z98" s="74">
        <f t="shared" ref="Z98" si="106">V98-(T98-X98)</f>
        <v>460</v>
      </c>
      <c r="AA98" s="76">
        <f>-SUM('PerditeAria(NO PLOT)'!F156:F157)</f>
        <v>150</v>
      </c>
      <c r="AB98" s="77">
        <f>'PerditeAria(NO PLOT)'!F185</f>
        <v>0</v>
      </c>
      <c r="AC98" s="74">
        <f t="shared" ref="AC98:AC100" si="107">SUM(T98,-X98,AA98,-AB98)</f>
        <v>0</v>
      </c>
      <c r="AD98" s="136">
        <f t="shared" ref="AD98:AD100" si="108">_xlfn.CEILING.MATH(AC98,10)</f>
        <v>0</v>
      </c>
      <c r="AE98" s="160">
        <f t="shared" ref="AE98:AE100" si="109">_xlfn.CEILING.MATH(AD98*(1+$AG$6),10)</f>
        <v>0</v>
      </c>
      <c r="AF98" s="161" t="s">
        <v>396</v>
      </c>
    </row>
    <row r="99" spans="1:37">
      <c r="A99" s="69" t="str">
        <f>'Design Criteria'!C35</f>
        <v>B002</v>
      </c>
      <c r="B99" s="69" t="str">
        <f>'Design Criteria'!D35</f>
        <v>CHECK ROOM/AIRLOCK</v>
      </c>
      <c r="C99" s="71" t="str">
        <f>'Design Criteria'!F35</f>
        <v>NC</v>
      </c>
      <c r="D99" s="284">
        <f>'Design Criteria'!I35</f>
        <v>3</v>
      </c>
      <c r="E99" s="105">
        <f>'Design Criteria'!J35</f>
        <v>18</v>
      </c>
      <c r="F99" s="105">
        <f>'Design Criteria'!L35</f>
        <v>48.6</v>
      </c>
      <c r="G99" s="105">
        <f>'Design Criteria'!M35</f>
        <v>22</v>
      </c>
      <c r="H99" s="105">
        <f>'Design Criteria'!Q35</f>
        <v>22</v>
      </c>
      <c r="I99" s="72">
        <f>'Design Criteria'!AA35</f>
        <v>1360</v>
      </c>
      <c r="J99" s="72">
        <f>'Design Criteria'!AB35</f>
        <v>0</v>
      </c>
      <c r="K99" s="173">
        <v>14.5</v>
      </c>
      <c r="L99" s="133" t="s">
        <v>154</v>
      </c>
      <c r="M99" s="135" t="s">
        <v>154</v>
      </c>
      <c r="N99" s="135" t="s">
        <v>154</v>
      </c>
      <c r="O99" s="133" t="s">
        <v>154</v>
      </c>
      <c r="P99" s="135" t="s">
        <v>154</v>
      </c>
      <c r="Q99" s="135" t="s">
        <v>154</v>
      </c>
      <c r="R99" s="135">
        <f t="shared" si="100"/>
        <v>145.80000000000001</v>
      </c>
      <c r="S99" s="75">
        <f t="shared" si="101"/>
        <v>0</v>
      </c>
      <c r="T99" s="301">
        <v>670</v>
      </c>
      <c r="U99" s="160"/>
      <c r="V99" s="74">
        <f t="shared" ref="V99:V100" si="110">T99</f>
        <v>670</v>
      </c>
      <c r="W99" s="73">
        <f t="shared" ref="W99:W100" si="111">T99/F99</f>
        <v>13.786008230452675</v>
      </c>
      <c r="X99" s="301">
        <v>300</v>
      </c>
      <c r="Y99" s="160"/>
      <c r="Z99" s="74">
        <f t="shared" ref="Z99:Z100" si="112">V99-(T99-X99)</f>
        <v>300</v>
      </c>
      <c r="AA99" s="76">
        <f>-SUM('PerditeAria(NO PLOT)'!F158:F159)</f>
        <v>-240</v>
      </c>
      <c r="AB99" s="77">
        <f>'PerditeAria(NO PLOT)'!F186</f>
        <v>130</v>
      </c>
      <c r="AC99" s="74">
        <f t="shared" si="107"/>
        <v>0</v>
      </c>
      <c r="AD99" s="136">
        <f t="shared" si="108"/>
        <v>0</v>
      </c>
      <c r="AE99" s="160"/>
      <c r="AF99" s="161" t="s">
        <v>396</v>
      </c>
    </row>
    <row r="100" spans="1:37">
      <c r="A100" s="69" t="str">
        <f>'Design Criteria'!C36</f>
        <v>B003</v>
      </c>
      <c r="B100" s="69" t="str">
        <f>'Design Criteria'!D36</f>
        <v>RECEIVING</v>
      </c>
      <c r="C100" s="71" t="str">
        <f>'Design Criteria'!F36</f>
        <v>NC</v>
      </c>
      <c r="D100" s="284">
        <f>'Design Criteria'!I36</f>
        <v>3</v>
      </c>
      <c r="E100" s="105">
        <f>'Design Criteria'!J36</f>
        <v>13</v>
      </c>
      <c r="F100" s="105">
        <f>'Design Criteria'!L36</f>
        <v>35.1</v>
      </c>
      <c r="G100" s="105">
        <f>'Design Criteria'!M36</f>
        <v>22</v>
      </c>
      <c r="H100" s="105">
        <f>'Design Criteria'!Q36</f>
        <v>22</v>
      </c>
      <c r="I100" s="72">
        <f>'Design Criteria'!AA36</f>
        <v>461.82500000000005</v>
      </c>
      <c r="J100" s="72">
        <f>'Design Criteria'!AB36</f>
        <v>289.57499999999999</v>
      </c>
      <c r="K100" s="173">
        <v>10</v>
      </c>
      <c r="L100" s="133" t="s">
        <v>154</v>
      </c>
      <c r="M100" s="135" t="s">
        <v>154</v>
      </c>
      <c r="N100" s="135" t="s">
        <v>154</v>
      </c>
      <c r="O100" s="133" t="s">
        <v>154</v>
      </c>
      <c r="P100" s="135" t="s">
        <v>154</v>
      </c>
      <c r="Q100" s="135" t="s">
        <v>154</v>
      </c>
      <c r="R100" s="135">
        <f t="shared" si="100"/>
        <v>105.30000000000001</v>
      </c>
      <c r="S100" s="75">
        <f t="shared" si="101"/>
        <v>0</v>
      </c>
      <c r="T100" s="301">
        <v>300</v>
      </c>
      <c r="U100" s="160">
        <f t="shared" ref="U100" si="113">_xlfn.CEILING.MATH(T100*(1+$AG$6),10)</f>
        <v>360</v>
      </c>
      <c r="V100" s="74">
        <f t="shared" si="110"/>
        <v>300</v>
      </c>
      <c r="W100" s="73">
        <f t="shared" si="111"/>
        <v>8.5470085470085468</v>
      </c>
      <c r="X100" s="136">
        <v>190</v>
      </c>
      <c r="Y100" s="160">
        <f t="shared" si="105"/>
        <v>230</v>
      </c>
      <c r="Z100" s="74">
        <f t="shared" si="112"/>
        <v>190</v>
      </c>
      <c r="AA100" s="76">
        <f>-SUM('PerditeAria(NO PLOT)'!F160:F161)</f>
        <v>-40</v>
      </c>
      <c r="AB100" s="77">
        <f>'PerditeAria(NO PLOT)'!F187</f>
        <v>70</v>
      </c>
      <c r="AC100" s="74">
        <f t="shared" si="107"/>
        <v>0</v>
      </c>
      <c r="AD100" s="136">
        <f t="shared" si="108"/>
        <v>0</v>
      </c>
      <c r="AE100" s="160">
        <f t="shared" si="109"/>
        <v>0</v>
      </c>
      <c r="AF100" s="161" t="s">
        <v>396</v>
      </c>
    </row>
    <row r="101" spans="1:37">
      <c r="A101" s="736" t="s">
        <v>11</v>
      </c>
      <c r="B101" s="737"/>
      <c r="C101" s="78"/>
      <c r="D101" s="79"/>
      <c r="E101" s="81">
        <f>SUM(E98:E100)</f>
        <v>68.180000000000007</v>
      </c>
      <c r="F101" s="81">
        <f>SUM(F98:F100)</f>
        <v>184.08600000000001</v>
      </c>
      <c r="G101" s="80"/>
      <c r="H101" s="80"/>
      <c r="I101" s="80">
        <f>SUM(I98:I100)</f>
        <v>7642.6445000000003</v>
      </c>
      <c r="J101" s="80">
        <f>SUM(J98:J100)</f>
        <v>1117.7595000000001</v>
      </c>
      <c r="K101" s="80"/>
      <c r="L101" s="80"/>
      <c r="M101" s="80">
        <f>SUM(M98:M100)</f>
        <v>0</v>
      </c>
      <c r="N101" s="80"/>
      <c r="O101" s="80"/>
      <c r="P101" s="80">
        <f>SUM(P98:P100)</f>
        <v>0</v>
      </c>
      <c r="Q101" s="80"/>
      <c r="R101" s="80">
        <f>SUM(R98:R100)</f>
        <v>552.25800000000004</v>
      </c>
      <c r="S101" s="80">
        <f>SUM(S98:S100)</f>
        <v>0</v>
      </c>
      <c r="T101" s="80">
        <f>SUM(T98:T100)</f>
        <v>1280</v>
      </c>
      <c r="U101" s="80">
        <f>SUM(U38:U100)</f>
        <v>20510</v>
      </c>
      <c r="V101" s="80">
        <f>SUM(V98:V100)</f>
        <v>1280</v>
      </c>
      <c r="W101" s="81"/>
      <c r="X101" s="80">
        <f>SUM(X98:X100)</f>
        <v>950</v>
      </c>
      <c r="Y101" s="80">
        <f>SUM(Y38:Y100)</f>
        <v>8050</v>
      </c>
      <c r="Z101" s="80">
        <f>SUM(Z95:Z100)</f>
        <v>950</v>
      </c>
      <c r="AA101" s="80">
        <f t="shared" ref="AA101:AB101" si="114">SUM(AA98:AA100)</f>
        <v>-130</v>
      </c>
      <c r="AB101" s="80">
        <f t="shared" si="114"/>
        <v>200</v>
      </c>
      <c r="AC101" s="80">
        <f>SUM(AC98:AC100)</f>
        <v>0</v>
      </c>
      <c r="AD101" s="80">
        <f>SUM(AD98:AD100)</f>
        <v>0</v>
      </c>
      <c r="AE101" s="287">
        <f>SUM(AE38:AE100)</f>
        <v>51200</v>
      </c>
      <c r="AF101" s="161"/>
    </row>
    <row r="102" spans="1:37" ht="13.8" thickBot="1">
      <c r="G102" s="84"/>
      <c r="H102" s="84"/>
      <c r="S102" s="84"/>
      <c r="AF102" s="86"/>
    </row>
    <row r="103" spans="1:37" ht="15.6">
      <c r="G103" s="84"/>
      <c r="H103" s="84"/>
      <c r="Q103" s="93"/>
      <c r="R103" s="116"/>
      <c r="S103" s="84"/>
      <c r="T103" s="738" t="s">
        <v>278</v>
      </c>
      <c r="U103" s="739"/>
      <c r="V103" s="740"/>
      <c r="W103" s="740"/>
      <c r="X103" s="740"/>
      <c r="Y103" s="740"/>
      <c r="Z103" s="740"/>
      <c r="AA103" s="740"/>
      <c r="AB103" s="87">
        <f>_xlfn.CEILING.MATH(T101*(1+$AG$97),100)</f>
        <v>1500</v>
      </c>
      <c r="AC103" s="88" t="s">
        <v>42</v>
      </c>
      <c r="AD103" s="116"/>
    </row>
    <row r="104" spans="1:37" ht="15.6">
      <c r="A104" s="111"/>
      <c r="G104" s="84"/>
      <c r="H104" s="84"/>
      <c r="N104" s="110"/>
      <c r="O104" s="22"/>
      <c r="S104" s="84"/>
      <c r="T104" s="724" t="s">
        <v>279</v>
      </c>
      <c r="U104" s="725"/>
      <c r="V104" s="726"/>
      <c r="W104" s="726"/>
      <c r="X104" s="726"/>
      <c r="Y104" s="726"/>
      <c r="Z104" s="726"/>
      <c r="AA104" s="726"/>
      <c r="AB104" s="162">
        <f>AB105</f>
        <v>1100</v>
      </c>
      <c r="AC104" s="89" t="s">
        <v>42</v>
      </c>
      <c r="AF104" s="90"/>
      <c r="AG104" s="289">
        <f>(AB104-AB105)/AB103</f>
        <v>0</v>
      </c>
      <c r="AH104" s="288" t="s">
        <v>288</v>
      </c>
    </row>
    <row r="105" spans="1:37" ht="15.6">
      <c r="G105" s="84"/>
      <c r="H105" s="84"/>
      <c r="N105" s="110"/>
      <c r="O105" s="112"/>
      <c r="S105" s="84"/>
      <c r="T105" s="724" t="s">
        <v>280</v>
      </c>
      <c r="U105" s="725"/>
      <c r="V105" s="726"/>
      <c r="W105" s="726"/>
      <c r="X105" s="726"/>
      <c r="Y105" s="726"/>
      <c r="Z105" s="726"/>
      <c r="AA105" s="726"/>
      <c r="AB105" s="162">
        <f>_xlfn.CEILING.MATH(X101*(1+$AG$97),100)</f>
        <v>1100</v>
      </c>
      <c r="AC105" s="89" t="s">
        <v>42</v>
      </c>
      <c r="AF105" s="91"/>
      <c r="AG105" s="22">
        <f>_xlfn.CEILING.MATH(X101*(1+$AG$97),100)</f>
        <v>1100</v>
      </c>
      <c r="AH105" s="288" t="s">
        <v>286</v>
      </c>
    </row>
    <row r="106" spans="1:37" ht="16.2" thickBot="1">
      <c r="G106" s="84"/>
      <c r="H106" s="84"/>
      <c r="N106" s="110"/>
      <c r="O106" s="112"/>
      <c r="S106" s="84"/>
      <c r="T106" s="727" t="s">
        <v>281</v>
      </c>
      <c r="U106" s="728"/>
      <c r="V106" s="729"/>
      <c r="W106" s="729"/>
      <c r="X106" s="729"/>
      <c r="Y106" s="729"/>
      <c r="Z106" s="729"/>
      <c r="AA106" s="729"/>
      <c r="AB106" s="104">
        <f>AB103-AB104+AB105</f>
        <v>1500</v>
      </c>
      <c r="AC106" s="282" t="s">
        <v>42</v>
      </c>
      <c r="AG106" s="289">
        <f>AB106/AB103</f>
        <v>1</v>
      </c>
      <c r="AH106" s="288" t="s">
        <v>287</v>
      </c>
      <c r="AK106" s="365"/>
    </row>
  </sheetData>
  <mergeCells count="216">
    <mergeCell ref="AF93:AF97"/>
    <mergeCell ref="L95:N95"/>
    <mergeCell ref="O95:Q95"/>
    <mergeCell ref="R95:R96"/>
    <mergeCell ref="S95:S96"/>
    <mergeCell ref="T95:T96"/>
    <mergeCell ref="U95:U96"/>
    <mergeCell ref="V95:V96"/>
    <mergeCell ref="W95:W96"/>
    <mergeCell ref="Y95:Y96"/>
    <mergeCell ref="AC95:AC96"/>
    <mergeCell ref="AD95:AD96"/>
    <mergeCell ref="AE95:AE96"/>
    <mergeCell ref="L93:W94"/>
    <mergeCell ref="X93:X96"/>
    <mergeCell ref="Z93:Z96"/>
    <mergeCell ref="AA93:AA96"/>
    <mergeCell ref="A101:B101"/>
    <mergeCell ref="AB93:AB96"/>
    <mergeCell ref="AC93:AD94"/>
    <mergeCell ref="T103:AA103"/>
    <mergeCell ref="T104:AA104"/>
    <mergeCell ref="T105:AA105"/>
    <mergeCell ref="F93:F96"/>
    <mergeCell ref="G93:G96"/>
    <mergeCell ref="H93:H96"/>
    <mergeCell ref="I93:I96"/>
    <mergeCell ref="J93:J96"/>
    <mergeCell ref="A8:B8"/>
    <mergeCell ref="A51:B51"/>
    <mergeCell ref="T53:AA53"/>
    <mergeCell ref="T42:T43"/>
    <mergeCell ref="U42:U43"/>
    <mergeCell ref="G60:G63"/>
    <mergeCell ref="H60:H63"/>
    <mergeCell ref="I60:I63"/>
    <mergeCell ref="J60:J63"/>
    <mergeCell ref="K60:K63"/>
    <mergeCell ref="A31:B31"/>
    <mergeCell ref="T33:AA33"/>
    <mergeCell ref="T34:AA34"/>
    <mergeCell ref="T35:AA35"/>
    <mergeCell ref="T36:AA36"/>
    <mergeCell ref="L19:N19"/>
    <mergeCell ref="A16:AF16"/>
    <mergeCell ref="A17:A21"/>
    <mergeCell ref="T13:AA13"/>
    <mergeCell ref="T12:AA12"/>
    <mergeCell ref="T10:AA10"/>
    <mergeCell ref="T11:AA11"/>
    <mergeCell ref="AE42:AE43"/>
    <mergeCell ref="AE19:AE20"/>
    <mergeCell ref="S4:S5"/>
    <mergeCell ref="H2:H5"/>
    <mergeCell ref="Z2:Z5"/>
    <mergeCell ref="X2:X5"/>
    <mergeCell ref="I2:I5"/>
    <mergeCell ref="T4:T5"/>
    <mergeCell ref="AA2:AA5"/>
    <mergeCell ref="L2:W3"/>
    <mergeCell ref="W4:W5"/>
    <mergeCell ref="J2:J5"/>
    <mergeCell ref="AD4:AD5"/>
    <mergeCell ref="L4:N4"/>
    <mergeCell ref="O4:Q4"/>
    <mergeCell ref="AC19:AC20"/>
    <mergeCell ref="AD19:AD20"/>
    <mergeCell ref="AF17:AF21"/>
    <mergeCell ref="A1:AF1"/>
    <mergeCell ref="D2:D5"/>
    <mergeCell ref="K2:K5"/>
    <mergeCell ref="A2:A6"/>
    <mergeCell ref="B2:B6"/>
    <mergeCell ref="C2:C6"/>
    <mergeCell ref="E2:E5"/>
    <mergeCell ref="F2:F5"/>
    <mergeCell ref="R4:R5"/>
    <mergeCell ref="AC4:AC5"/>
    <mergeCell ref="AF2:AF6"/>
    <mergeCell ref="AB2:AB5"/>
    <mergeCell ref="AC2:AD3"/>
    <mergeCell ref="U4:U5"/>
    <mergeCell ref="AE4:AE5"/>
    <mergeCell ref="Y4:Y5"/>
    <mergeCell ref="G2:G5"/>
    <mergeCell ref="V4:V5"/>
    <mergeCell ref="B17:B21"/>
    <mergeCell ref="C17:C21"/>
    <mergeCell ref="D17:D20"/>
    <mergeCell ref="E17:E20"/>
    <mergeCell ref="F17:F20"/>
    <mergeCell ref="G17:G20"/>
    <mergeCell ref="H17:H20"/>
    <mergeCell ref="I17:I20"/>
    <mergeCell ref="J17:J20"/>
    <mergeCell ref="AC17:AD18"/>
    <mergeCell ref="K17:K20"/>
    <mergeCell ref="Z17:Z20"/>
    <mergeCell ref="U19:U20"/>
    <mergeCell ref="V19:V20"/>
    <mergeCell ref="W19:W20"/>
    <mergeCell ref="Y19:Y20"/>
    <mergeCell ref="L17:W18"/>
    <mergeCell ref="X17:X20"/>
    <mergeCell ref="O19:Q19"/>
    <mergeCell ref="R19:R20"/>
    <mergeCell ref="S19:S20"/>
    <mergeCell ref="T19:T20"/>
    <mergeCell ref="L60:W61"/>
    <mergeCell ref="X60:X63"/>
    <mergeCell ref="L62:N62"/>
    <mergeCell ref="O62:Q62"/>
    <mergeCell ref="R62:R63"/>
    <mergeCell ref="S62:S63"/>
    <mergeCell ref="T62:T63"/>
    <mergeCell ref="AA17:AA20"/>
    <mergeCell ref="AB17:AB20"/>
    <mergeCell ref="A39:AF39"/>
    <mergeCell ref="A40:A44"/>
    <mergeCell ref="B40:B44"/>
    <mergeCell ref="C40:C44"/>
    <mergeCell ref="D40:D43"/>
    <mergeCell ref="E40:E43"/>
    <mergeCell ref="F40:F43"/>
    <mergeCell ref="G40:G43"/>
    <mergeCell ref="H40:H43"/>
    <mergeCell ref="I40:I43"/>
    <mergeCell ref="J40:J43"/>
    <mergeCell ref="AF40:AF44"/>
    <mergeCell ref="V42:V43"/>
    <mergeCell ref="W42:W43"/>
    <mergeCell ref="L42:N42"/>
    <mergeCell ref="O42:Q42"/>
    <mergeCell ref="R42:R43"/>
    <mergeCell ref="S42:S43"/>
    <mergeCell ref="C60:C64"/>
    <mergeCell ref="D60:D63"/>
    <mergeCell ref="E60:E63"/>
    <mergeCell ref="F60:F63"/>
    <mergeCell ref="T106:AA106"/>
    <mergeCell ref="T54:AA54"/>
    <mergeCell ref="T55:AA55"/>
    <mergeCell ref="T56:AA56"/>
    <mergeCell ref="A92:AF92"/>
    <mergeCell ref="A93:A97"/>
    <mergeCell ref="B93:B97"/>
    <mergeCell ref="C93:C97"/>
    <mergeCell ref="D93:D96"/>
    <mergeCell ref="E93:E96"/>
    <mergeCell ref="AC62:AC63"/>
    <mergeCell ref="AD62:AD63"/>
    <mergeCell ref="AE62:AE63"/>
    <mergeCell ref="A67:B67"/>
    <mergeCell ref="T69:AA69"/>
    <mergeCell ref="A60:A64"/>
    <mergeCell ref="B60:B64"/>
    <mergeCell ref="A59:AF59"/>
    <mergeCell ref="Z60:Z63"/>
    <mergeCell ref="AA60:AA63"/>
    <mergeCell ref="AB60:AB63"/>
    <mergeCell ref="AC60:AD61"/>
    <mergeCell ref="AF60:AF64"/>
    <mergeCell ref="K93:K96"/>
    <mergeCell ref="Y42:Y43"/>
    <mergeCell ref="AC42:AC43"/>
    <mergeCell ref="AD42:AD43"/>
    <mergeCell ref="T70:AA70"/>
    <mergeCell ref="T71:AA71"/>
    <mergeCell ref="T72:AA72"/>
    <mergeCell ref="U62:U63"/>
    <mergeCell ref="V62:V63"/>
    <mergeCell ref="W62:W63"/>
    <mergeCell ref="Y62:Y63"/>
    <mergeCell ref="R78:R79"/>
    <mergeCell ref="S78:S79"/>
    <mergeCell ref="T78:T79"/>
    <mergeCell ref="K40:K43"/>
    <mergeCell ref="L40:W41"/>
    <mergeCell ref="X40:X43"/>
    <mergeCell ref="Z40:Z43"/>
    <mergeCell ref="AA40:AA43"/>
    <mergeCell ref="AB40:AB43"/>
    <mergeCell ref="AC40:AD41"/>
    <mergeCell ref="AE78:AE79"/>
    <mergeCell ref="A84:B84"/>
    <mergeCell ref="T86:AA86"/>
    <mergeCell ref="A75:AF75"/>
    <mergeCell ref="A76:A80"/>
    <mergeCell ref="B76:B80"/>
    <mergeCell ref="C76:C80"/>
    <mergeCell ref="D76:D79"/>
    <mergeCell ref="E76:E79"/>
    <mergeCell ref="F76:F79"/>
    <mergeCell ref="G76:G79"/>
    <mergeCell ref="H76:H79"/>
    <mergeCell ref="I76:I79"/>
    <mergeCell ref="J76:J79"/>
    <mergeCell ref="K76:K79"/>
    <mergeCell ref="L76:W77"/>
    <mergeCell ref="X76:X79"/>
    <mergeCell ref="Z76:Z79"/>
    <mergeCell ref="AA76:AA79"/>
    <mergeCell ref="AB76:AB79"/>
    <mergeCell ref="AC76:AD77"/>
    <mergeCell ref="AF76:AF80"/>
    <mergeCell ref="L78:N78"/>
    <mergeCell ref="O78:Q78"/>
    <mergeCell ref="T87:AA87"/>
    <mergeCell ref="T88:AA88"/>
    <mergeCell ref="T89:AA89"/>
    <mergeCell ref="U78:U79"/>
    <mergeCell ref="V78:V79"/>
    <mergeCell ref="W78:W79"/>
    <mergeCell ref="Y78:Y79"/>
    <mergeCell ref="AC78:AC79"/>
    <mergeCell ref="AD78:AD79"/>
  </mergeCells>
  <phoneticPr fontId="41" type="noConversion"/>
  <conditionalFormatting sqref="W7 W22:W30 W45:W50 W65:W66 W81:W83">
    <cfRule type="expression" dxfId="11" priority="14">
      <formula>W7&lt;D7</formula>
    </cfRule>
  </conditionalFormatting>
  <conditionalFormatting sqref="W98:W100">
    <cfRule type="expression" dxfId="10" priority="11">
      <formula>W98&lt;D98</formula>
    </cfRule>
  </conditionalFormatting>
  <conditionalFormatting sqref="AC7 AC45:AC50 AC65:AC66 AC81:AC83">
    <cfRule type="cellIs" dxfId="9" priority="18" operator="lessThan">
      <formula>0</formula>
    </cfRule>
  </conditionalFormatting>
  <conditionalFormatting sqref="AC22:AC30">
    <cfRule type="cellIs" dxfId="8" priority="16" operator="lessThan">
      <formula>0</formula>
    </cfRule>
  </conditionalFormatting>
  <conditionalFormatting sqref="AC98:AC100">
    <cfRule type="cellIs" dxfId="7" priority="15" operator="lessThan">
      <formula>0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39" fitToHeight="0" orientation="landscape" copies="2" r:id="rId1"/>
  <headerFooter alignWithMargins="0"/>
  <rowBreaks count="1" manualBreakCount="1">
    <brk id="91" max="31" man="1"/>
  </rowBreaks>
  <ignoredErrors>
    <ignoredError sqref="G8:H8 K8:L8 N8:O8 Q8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101"/>
  <sheetViews>
    <sheetView view="pageBreakPreview" topLeftCell="A40" zoomScaleNormal="100" zoomScaleSheetLayoutView="100" workbookViewId="0">
      <selection activeCell="T56" sqref="T56"/>
    </sheetView>
  </sheetViews>
  <sheetFormatPr defaultRowHeight="13.2"/>
  <cols>
    <col min="1" max="1" width="13.109375" style="217" customWidth="1"/>
    <col min="2" max="2" width="15.33203125" style="217" bestFit="1" customWidth="1"/>
    <col min="3" max="3" width="39.109375" style="217" bestFit="1" customWidth="1"/>
    <col min="4" max="4" width="6.6640625" style="217" customWidth="1"/>
    <col min="5" max="5" width="10.5546875" style="217" bestFit="1" customWidth="1"/>
    <col min="6" max="6" width="10.6640625" style="217" customWidth="1"/>
    <col min="7" max="8" width="5.5546875" style="217" bestFit="1" customWidth="1"/>
    <col min="9" max="9" width="12.109375" style="217" customWidth="1"/>
    <col min="10" max="10" width="11.33203125" style="217" customWidth="1"/>
    <col min="11" max="11" width="7" style="217" bestFit="1" customWidth="1"/>
    <col min="12" max="12" width="10" style="217" bestFit="1" customWidth="1"/>
    <col min="13" max="13" width="12.44140625" style="217" bestFit="1" customWidth="1"/>
    <col min="14" max="14" width="7" style="217" bestFit="1" customWidth="1"/>
    <col min="15" max="15" width="6.5546875" style="217" bestFit="1" customWidth="1"/>
    <col min="16" max="16" width="5.6640625" style="217" customWidth="1"/>
    <col min="17" max="17" width="9.109375" style="217" bestFit="1" customWidth="1"/>
    <col min="18" max="18" width="7.88671875" style="217" bestFit="1" customWidth="1"/>
    <col min="19" max="19" width="7" style="217" bestFit="1" customWidth="1"/>
    <col min="20" max="20" width="13.33203125" style="217" bestFit="1" customWidth="1"/>
    <col min="21" max="21" width="9" style="217" customWidth="1"/>
    <col min="22" max="23" width="8.88671875" style="217"/>
    <col min="24" max="24" width="6.109375" style="217" customWidth="1"/>
    <col min="25" max="16384" width="8.88671875" style="217"/>
  </cols>
  <sheetData>
    <row r="1" spans="1:22" ht="24.6">
      <c r="A1" s="765" t="s">
        <v>393</v>
      </c>
      <c r="B1" s="765"/>
      <c r="C1" s="765"/>
      <c r="D1" s="765"/>
      <c r="E1" s="765"/>
      <c r="F1" s="765"/>
      <c r="G1" s="765"/>
      <c r="H1" s="765"/>
      <c r="I1" s="765"/>
      <c r="J1" s="765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372">
        <f>PortateAria!AG6</f>
        <v>0.2</v>
      </c>
    </row>
    <row r="2" spans="1:22">
      <c r="A2" s="758" t="s">
        <v>69</v>
      </c>
      <c r="B2" s="761" t="s">
        <v>29</v>
      </c>
      <c r="C2" s="761" t="s">
        <v>8</v>
      </c>
      <c r="D2" s="761" t="s">
        <v>14</v>
      </c>
      <c r="E2" s="758" t="s">
        <v>70</v>
      </c>
      <c r="F2" s="758" t="s">
        <v>71</v>
      </c>
      <c r="G2" s="760" t="s">
        <v>36</v>
      </c>
      <c r="H2" s="760" t="s">
        <v>35</v>
      </c>
      <c r="I2" s="758" t="s">
        <v>43</v>
      </c>
      <c r="J2" s="758" t="s">
        <v>44</v>
      </c>
      <c r="K2" s="759" t="s">
        <v>45</v>
      </c>
      <c r="L2" s="759"/>
      <c r="M2" s="760" t="s">
        <v>72</v>
      </c>
      <c r="N2" s="759" t="s">
        <v>13</v>
      </c>
      <c r="O2" s="759"/>
      <c r="P2" s="759"/>
      <c r="Q2" s="761" t="s">
        <v>47</v>
      </c>
      <c r="R2" s="761"/>
      <c r="S2" s="761"/>
      <c r="T2" s="761"/>
      <c r="U2" s="761" t="s">
        <v>51</v>
      </c>
    </row>
    <row r="3" spans="1:22">
      <c r="A3" s="761"/>
      <c r="B3" s="761"/>
      <c r="C3" s="761"/>
      <c r="D3" s="761"/>
      <c r="E3" s="758"/>
      <c r="F3" s="758"/>
      <c r="G3" s="760"/>
      <c r="H3" s="760"/>
      <c r="I3" s="758"/>
      <c r="J3" s="758"/>
      <c r="K3" s="759"/>
      <c r="L3" s="759"/>
      <c r="M3" s="760"/>
      <c r="N3" s="759"/>
      <c r="O3" s="759"/>
      <c r="P3" s="759"/>
      <c r="Q3" s="761"/>
      <c r="R3" s="761"/>
      <c r="S3" s="761"/>
      <c r="T3" s="761"/>
      <c r="U3" s="761"/>
    </row>
    <row r="4" spans="1:22">
      <c r="A4" s="761"/>
      <c r="B4" s="761"/>
      <c r="C4" s="761"/>
      <c r="D4" s="761"/>
      <c r="E4" s="758"/>
      <c r="F4" s="758"/>
      <c r="G4" s="760"/>
      <c r="H4" s="760"/>
      <c r="I4" s="758"/>
      <c r="J4" s="758"/>
      <c r="K4" s="368" t="s">
        <v>18</v>
      </c>
      <c r="L4" s="368" t="s">
        <v>46</v>
      </c>
      <c r="M4" s="760"/>
      <c r="N4" s="368" t="s">
        <v>18</v>
      </c>
      <c r="O4" s="759" t="s">
        <v>46</v>
      </c>
      <c r="P4" s="759"/>
      <c r="Q4" s="369" t="s">
        <v>34</v>
      </c>
      <c r="R4" s="369" t="s">
        <v>48</v>
      </c>
      <c r="S4" s="369" t="s">
        <v>49</v>
      </c>
      <c r="T4" s="370" t="s">
        <v>73</v>
      </c>
      <c r="U4" s="761"/>
    </row>
    <row r="5" spans="1:22" ht="13.8" thickBot="1">
      <c r="A5" s="761"/>
      <c r="B5" s="761"/>
      <c r="C5" s="761"/>
      <c r="D5" s="761"/>
      <c r="E5" s="369" t="s">
        <v>42</v>
      </c>
      <c r="F5" s="369" t="s">
        <v>42</v>
      </c>
      <c r="G5" s="369" t="s">
        <v>3</v>
      </c>
      <c r="H5" s="369" t="s">
        <v>3</v>
      </c>
      <c r="I5" s="369" t="s">
        <v>3</v>
      </c>
      <c r="J5" s="369" t="s">
        <v>3</v>
      </c>
      <c r="K5" s="367" t="s">
        <v>507</v>
      </c>
      <c r="L5" s="367" t="s">
        <v>507</v>
      </c>
      <c r="M5" s="367" t="s">
        <v>3</v>
      </c>
      <c r="N5" s="367" t="s">
        <v>7</v>
      </c>
      <c r="O5" s="367" t="s">
        <v>7</v>
      </c>
      <c r="P5" s="367" t="s">
        <v>68</v>
      </c>
      <c r="Q5" s="369" t="s">
        <v>38</v>
      </c>
      <c r="R5" s="371" t="s">
        <v>5</v>
      </c>
      <c r="S5" s="369" t="s">
        <v>5</v>
      </c>
      <c r="T5" s="369" t="s">
        <v>5</v>
      </c>
      <c r="U5" s="369" t="s">
        <v>50</v>
      </c>
      <c r="V5" s="372"/>
    </row>
    <row r="6" spans="1:22" ht="12.75" customHeight="1">
      <c r="A6" s="373"/>
      <c r="B6" s="373"/>
      <c r="C6" s="373"/>
      <c r="D6" s="234"/>
      <c r="E6" s="373"/>
      <c r="F6" s="373"/>
      <c r="G6" s="373"/>
      <c r="H6" s="374"/>
      <c r="I6" s="375"/>
      <c r="J6" s="375"/>
      <c r="K6" s="373"/>
      <c r="L6" s="374"/>
      <c r="M6" s="373"/>
      <c r="N6" s="373"/>
      <c r="O6" s="374"/>
      <c r="P6" s="374"/>
      <c r="Q6" s="373"/>
      <c r="R6" s="766" t="s">
        <v>138</v>
      </c>
      <c r="S6" s="373"/>
      <c r="T6" s="373"/>
    </row>
    <row r="7" spans="1:22" ht="13.8" thickBot="1">
      <c r="A7" s="373"/>
      <c r="B7" s="373"/>
      <c r="C7" s="373"/>
      <c r="D7" s="234"/>
      <c r="E7" s="373"/>
      <c r="F7" s="373"/>
      <c r="G7" s="373"/>
      <c r="H7" s="374"/>
      <c r="I7" s="375"/>
      <c r="J7" s="375"/>
      <c r="K7" s="373"/>
      <c r="L7" s="374"/>
      <c r="M7" s="373"/>
      <c r="N7" s="373"/>
      <c r="O7" s="374"/>
      <c r="P7" s="374"/>
      <c r="Q7" s="373"/>
      <c r="R7" s="767"/>
      <c r="S7" s="373"/>
      <c r="T7" s="373"/>
    </row>
    <row r="8" spans="1:22">
      <c r="A8" s="376" t="s">
        <v>394</v>
      </c>
      <c r="B8" s="406" t="str">
        <f>PortateAria!A7</f>
        <v>E001</v>
      </c>
      <c r="C8" s="406" t="str">
        <f>PortateAria!B7</f>
        <v>MATERIAL RECEIVING LINK CORRIDOR</v>
      </c>
      <c r="D8" s="406" t="str">
        <f>PortateAria!C7</f>
        <v>NC</v>
      </c>
      <c r="E8" s="407">
        <f>PortateAria!T7</f>
        <v>6470</v>
      </c>
      <c r="F8" s="377"/>
      <c r="G8" s="378"/>
      <c r="H8" s="379"/>
      <c r="I8" s="378"/>
      <c r="J8" s="378"/>
      <c r="K8" s="378"/>
      <c r="L8" s="379"/>
      <c r="M8" s="378"/>
      <c r="N8" s="378"/>
      <c r="O8" s="379"/>
      <c r="P8" s="379"/>
      <c r="Q8" s="378"/>
      <c r="R8" s="378"/>
      <c r="S8" s="378"/>
      <c r="T8" s="378"/>
      <c r="U8" s="380"/>
    </row>
    <row r="9" spans="1:22">
      <c r="A9" s="381"/>
      <c r="B9" s="219"/>
      <c r="C9" s="351"/>
      <c r="D9" s="219"/>
      <c r="E9" s="382"/>
      <c r="F9" s="384"/>
      <c r="G9" s="384"/>
      <c r="H9" s="385"/>
      <c r="I9" s="384"/>
      <c r="J9" s="384"/>
      <c r="K9" s="384"/>
      <c r="L9" s="385"/>
      <c r="M9" s="384"/>
      <c r="N9" s="384"/>
      <c r="O9" s="385"/>
      <c r="P9" s="385"/>
      <c r="Q9" s="384"/>
      <c r="R9" s="384"/>
      <c r="S9" s="384"/>
      <c r="T9" s="384"/>
      <c r="U9" s="386"/>
    </row>
    <row r="10" spans="1:22" ht="13.8" thickBot="1">
      <c r="A10" s="388"/>
      <c r="B10" s="389"/>
      <c r="C10" s="390"/>
      <c r="D10" s="389"/>
      <c r="E10" s="391"/>
      <c r="F10" s="392">
        <f>SUM(E8:E9)</f>
        <v>6470</v>
      </c>
      <c r="G10" s="393">
        <f>PortateAria!G7</f>
        <v>22</v>
      </c>
      <c r="H10" s="393">
        <f>PortateAria!H7</f>
        <v>22</v>
      </c>
      <c r="I10" s="394">
        <v>18.2</v>
      </c>
      <c r="J10" s="393">
        <f>PortateAria!O7</f>
        <v>25</v>
      </c>
      <c r="K10" s="395">
        <f>PRODUCT(F10,(J10-I10),0.3)</f>
        <v>13198.800000000001</v>
      </c>
      <c r="L10" s="396">
        <f>MROUND(K10*(1+V1),50)</f>
        <v>15850</v>
      </c>
      <c r="M10" s="518">
        <v>10</v>
      </c>
      <c r="N10" s="395">
        <f>PRODUCT(K10/M10)</f>
        <v>1319.88</v>
      </c>
      <c r="O10" s="397">
        <f>PRODUCT(L10/M10)</f>
        <v>1585</v>
      </c>
      <c r="P10" s="398">
        <f>O10/3600</f>
        <v>0.44027777777777777</v>
      </c>
      <c r="Q10" s="399">
        <f>PRODUCT(F10,1/3600,1/2)</f>
        <v>0.89861111111111114</v>
      </c>
      <c r="R10" s="541">
        <v>1.1000000000000001</v>
      </c>
      <c r="S10" s="399">
        <f>PRODUCT(Q10,1/R10)</f>
        <v>0.81691919191919193</v>
      </c>
      <c r="T10" s="541">
        <v>1</v>
      </c>
      <c r="U10" s="400">
        <f>F10/3600/R10/T10</f>
        <v>1.6338383838383836</v>
      </c>
    </row>
    <row r="11" spans="1:22">
      <c r="A11" s="373"/>
      <c r="B11" s="373"/>
      <c r="C11" s="373"/>
      <c r="D11" s="234"/>
      <c r="E11" s="373"/>
      <c r="F11" s="373"/>
      <c r="G11" s="373"/>
      <c r="H11" s="373"/>
      <c r="I11" s="373"/>
      <c r="J11" s="373"/>
      <c r="K11" s="373"/>
      <c r="L11" s="374"/>
      <c r="M11" s="373"/>
      <c r="N11" s="373"/>
      <c r="O11" s="373"/>
      <c r="P11" s="374"/>
      <c r="Q11" s="373"/>
      <c r="R11" s="373"/>
      <c r="S11" s="401"/>
      <c r="T11" s="373"/>
    </row>
    <row r="12" spans="1:22">
      <c r="A12" s="762" t="s">
        <v>11</v>
      </c>
      <c r="B12" s="763"/>
      <c r="C12" s="764"/>
      <c r="D12" s="409"/>
      <c r="E12" s="410"/>
      <c r="F12" s="410">
        <f>F10</f>
        <v>6470</v>
      </c>
      <c r="G12" s="411"/>
      <c r="H12" s="411"/>
      <c r="I12" s="412"/>
      <c r="J12" s="412"/>
      <c r="K12" s="412"/>
      <c r="L12" s="410">
        <f>L10</f>
        <v>15850</v>
      </c>
      <c r="M12" s="412"/>
      <c r="N12" s="412"/>
      <c r="O12" s="410">
        <f>O10</f>
        <v>1585</v>
      </c>
      <c r="P12" s="413">
        <f>P10</f>
        <v>0.44027777777777777</v>
      </c>
      <c r="Q12" s="414"/>
      <c r="R12" s="414"/>
      <c r="S12" s="369"/>
      <c r="T12" s="414"/>
      <c r="U12" s="415"/>
    </row>
    <row r="14" spans="1:22">
      <c r="A14" s="373"/>
      <c r="B14" s="373"/>
      <c r="C14" s="373"/>
      <c r="D14" s="234"/>
      <c r="E14" s="373"/>
      <c r="F14" s="373"/>
      <c r="G14" s="373"/>
      <c r="H14" s="373"/>
      <c r="I14" s="373"/>
      <c r="J14" s="373"/>
      <c r="K14" s="373"/>
      <c r="L14" s="374"/>
      <c r="M14" s="373"/>
      <c r="N14" s="373"/>
      <c r="O14" s="374"/>
      <c r="P14" s="374"/>
      <c r="Q14" s="373"/>
      <c r="R14" s="373"/>
      <c r="S14" s="401"/>
      <c r="T14" s="373"/>
    </row>
    <row r="15" spans="1:22" ht="24.6">
      <c r="A15" s="765" t="s">
        <v>411</v>
      </c>
      <c r="B15" s="765"/>
      <c r="C15" s="765"/>
      <c r="D15" s="765"/>
      <c r="E15" s="765"/>
      <c r="F15" s="765"/>
      <c r="G15" s="765"/>
      <c r="H15" s="765"/>
      <c r="I15" s="765"/>
      <c r="J15" s="765"/>
      <c r="K15" s="765"/>
      <c r="L15" s="765"/>
      <c r="M15" s="765"/>
      <c r="N15" s="765"/>
      <c r="O15" s="765"/>
      <c r="P15" s="765"/>
      <c r="Q15" s="765"/>
      <c r="R15" s="765"/>
      <c r="S15" s="765"/>
      <c r="T15" s="765"/>
      <c r="U15" s="765"/>
      <c r="V15" s="372">
        <f>PortateAria!AG21</f>
        <v>0.2</v>
      </c>
    </row>
    <row r="16" spans="1:22">
      <c r="A16" s="758" t="s">
        <v>69</v>
      </c>
      <c r="B16" s="761" t="s">
        <v>29</v>
      </c>
      <c r="C16" s="761" t="s">
        <v>8</v>
      </c>
      <c r="D16" s="761" t="s">
        <v>14</v>
      </c>
      <c r="E16" s="758" t="s">
        <v>70</v>
      </c>
      <c r="F16" s="758" t="s">
        <v>71</v>
      </c>
      <c r="G16" s="760" t="s">
        <v>36</v>
      </c>
      <c r="H16" s="760" t="s">
        <v>35</v>
      </c>
      <c r="I16" s="758" t="s">
        <v>43</v>
      </c>
      <c r="J16" s="758" t="s">
        <v>44</v>
      </c>
      <c r="K16" s="759" t="s">
        <v>45</v>
      </c>
      <c r="L16" s="759"/>
      <c r="M16" s="760" t="s">
        <v>72</v>
      </c>
      <c r="N16" s="759" t="s">
        <v>13</v>
      </c>
      <c r="O16" s="759"/>
      <c r="P16" s="759"/>
      <c r="Q16" s="761" t="s">
        <v>47</v>
      </c>
      <c r="R16" s="761"/>
      <c r="S16" s="761"/>
      <c r="T16" s="761"/>
      <c r="U16" s="761" t="s">
        <v>51</v>
      </c>
    </row>
    <row r="17" spans="1:22">
      <c r="A17" s="761"/>
      <c r="B17" s="761"/>
      <c r="C17" s="761"/>
      <c r="D17" s="761"/>
      <c r="E17" s="758"/>
      <c r="F17" s="758"/>
      <c r="G17" s="760"/>
      <c r="H17" s="760"/>
      <c r="I17" s="758"/>
      <c r="J17" s="758"/>
      <c r="K17" s="759"/>
      <c r="L17" s="759"/>
      <c r="M17" s="760"/>
      <c r="N17" s="759"/>
      <c r="O17" s="759"/>
      <c r="P17" s="759"/>
      <c r="Q17" s="761"/>
      <c r="R17" s="761"/>
      <c r="S17" s="761"/>
      <c r="T17" s="761"/>
      <c r="U17" s="761"/>
    </row>
    <row r="18" spans="1:22">
      <c r="A18" s="761"/>
      <c r="B18" s="761"/>
      <c r="C18" s="761"/>
      <c r="D18" s="761"/>
      <c r="E18" s="758"/>
      <c r="F18" s="758"/>
      <c r="G18" s="760"/>
      <c r="H18" s="760"/>
      <c r="I18" s="758"/>
      <c r="J18" s="758"/>
      <c r="K18" s="368" t="s">
        <v>18</v>
      </c>
      <c r="L18" s="368" t="s">
        <v>46</v>
      </c>
      <c r="M18" s="760"/>
      <c r="N18" s="368" t="s">
        <v>18</v>
      </c>
      <c r="O18" s="759" t="s">
        <v>46</v>
      </c>
      <c r="P18" s="759"/>
      <c r="Q18" s="369" t="s">
        <v>34</v>
      </c>
      <c r="R18" s="369" t="s">
        <v>48</v>
      </c>
      <c r="S18" s="369" t="s">
        <v>49</v>
      </c>
      <c r="T18" s="370" t="s">
        <v>73</v>
      </c>
      <c r="U18" s="761"/>
    </row>
    <row r="19" spans="1:22" ht="13.8" thickBot="1">
      <c r="A19" s="761"/>
      <c r="B19" s="761"/>
      <c r="C19" s="761"/>
      <c r="D19" s="761"/>
      <c r="E19" s="369" t="s">
        <v>42</v>
      </c>
      <c r="F19" s="369" t="s">
        <v>42</v>
      </c>
      <c r="G19" s="369" t="s">
        <v>3</v>
      </c>
      <c r="H19" s="369" t="s">
        <v>3</v>
      </c>
      <c r="I19" s="369" t="s">
        <v>3</v>
      </c>
      <c r="J19" s="369" t="s">
        <v>3</v>
      </c>
      <c r="K19" s="367" t="s">
        <v>507</v>
      </c>
      <c r="L19" s="367" t="s">
        <v>507</v>
      </c>
      <c r="M19" s="367" t="s">
        <v>3</v>
      </c>
      <c r="N19" s="367" t="s">
        <v>7</v>
      </c>
      <c r="O19" s="367" t="s">
        <v>7</v>
      </c>
      <c r="P19" s="367" t="s">
        <v>68</v>
      </c>
      <c r="Q19" s="369" t="s">
        <v>38</v>
      </c>
      <c r="R19" s="371" t="s">
        <v>5</v>
      </c>
      <c r="S19" s="369" t="s">
        <v>5</v>
      </c>
      <c r="T19" s="369" t="s">
        <v>5</v>
      </c>
      <c r="U19" s="369" t="s">
        <v>50</v>
      </c>
      <c r="V19" s="372"/>
    </row>
    <row r="20" spans="1:22" ht="12.75" customHeight="1">
      <c r="A20" s="373"/>
      <c r="B20" s="373"/>
      <c r="C20" s="373"/>
      <c r="D20" s="234"/>
      <c r="E20" s="373"/>
      <c r="F20" s="373"/>
      <c r="G20" s="373"/>
      <c r="H20" s="374"/>
      <c r="I20" s="375"/>
      <c r="J20" s="375"/>
      <c r="K20" s="373"/>
      <c r="L20" s="374"/>
      <c r="M20" s="373"/>
      <c r="N20" s="373"/>
      <c r="O20" s="374"/>
      <c r="P20" s="374"/>
      <c r="Q20" s="373"/>
      <c r="R20" s="766" t="s">
        <v>138</v>
      </c>
      <c r="S20" s="373"/>
      <c r="T20" s="373"/>
    </row>
    <row r="21" spans="1:22" ht="13.8" thickBot="1">
      <c r="A21" s="373"/>
      <c r="B21" s="373"/>
      <c r="C21" s="373"/>
      <c r="D21" s="234"/>
      <c r="E21" s="373"/>
      <c r="F21" s="373"/>
      <c r="G21" s="373"/>
      <c r="H21" s="374"/>
      <c r="I21" s="375"/>
      <c r="J21" s="375"/>
      <c r="K21" s="373"/>
      <c r="L21" s="374"/>
      <c r="M21" s="373"/>
      <c r="N21" s="373"/>
      <c r="O21" s="374"/>
      <c r="P21" s="374"/>
      <c r="Q21" s="373"/>
      <c r="R21" s="767"/>
      <c r="S21" s="373"/>
      <c r="T21" s="373"/>
    </row>
    <row r="22" spans="1:22">
      <c r="A22" s="376" t="s">
        <v>407</v>
      </c>
      <c r="B22" s="406" t="str">
        <f>PortateAria!A22</f>
        <v>A001</v>
      </c>
      <c r="C22" s="406" t="str">
        <f>PortateAria!B22</f>
        <v>ENTRANCE</v>
      </c>
      <c r="D22" s="406" t="str">
        <f>PortateAria!C22</f>
        <v>NC</v>
      </c>
      <c r="E22" s="407">
        <f>PortateAria!T22</f>
        <v>560</v>
      </c>
      <c r="F22" s="377"/>
      <c r="G22" s="378"/>
      <c r="H22" s="379"/>
      <c r="I22" s="378"/>
      <c r="J22" s="378"/>
      <c r="K22" s="378"/>
      <c r="L22" s="379"/>
      <c r="M22" s="378"/>
      <c r="N22" s="378"/>
      <c r="O22" s="379"/>
      <c r="P22" s="379"/>
      <c r="Q22" s="378"/>
      <c r="R22" s="378"/>
      <c r="S22" s="402"/>
      <c r="T22" s="378"/>
      <c r="U22" s="380"/>
    </row>
    <row r="23" spans="1:22">
      <c r="A23" s="381"/>
      <c r="B23" s="219" t="str">
        <f>PortateAria!A24</f>
        <v>A101</v>
      </c>
      <c r="C23" s="219" t="str">
        <f>PortateAria!B24</f>
        <v>FILTER AGAINST FIRE</v>
      </c>
      <c r="D23" s="219" t="str">
        <f>PortateAria!C24</f>
        <v>NC</v>
      </c>
      <c r="E23" s="382">
        <f>PortateAria!T24</f>
        <v>380</v>
      </c>
      <c r="F23" s="383"/>
      <c r="G23" s="384"/>
      <c r="H23" s="385"/>
      <c r="I23" s="384"/>
      <c r="J23" s="384"/>
      <c r="K23" s="384"/>
      <c r="L23" s="385"/>
      <c r="M23" s="384"/>
      <c r="N23" s="384"/>
      <c r="O23" s="385"/>
      <c r="P23" s="385"/>
      <c r="Q23" s="384"/>
      <c r="R23" s="384"/>
      <c r="S23" s="404"/>
      <c r="T23" s="384"/>
      <c r="U23" s="386"/>
    </row>
    <row r="24" spans="1:22">
      <c r="A24" s="381"/>
      <c r="B24" s="219" t="str">
        <f>PortateAria!A25</f>
        <v>A102</v>
      </c>
      <c r="C24" s="219" t="str">
        <f>PortateAria!B25</f>
        <v>AIRLOCK VT</v>
      </c>
      <c r="D24" s="219" t="str">
        <f>PortateAria!C25</f>
        <v>NC</v>
      </c>
      <c r="E24" s="382">
        <f>PortateAria!T25</f>
        <v>260</v>
      </c>
      <c r="F24" s="383"/>
      <c r="G24" s="384"/>
      <c r="H24" s="385"/>
      <c r="I24" s="384"/>
      <c r="J24" s="384"/>
      <c r="K24" s="384"/>
      <c r="L24" s="385"/>
      <c r="M24" s="384"/>
      <c r="N24" s="384"/>
      <c r="O24" s="385"/>
      <c r="P24" s="385"/>
      <c r="Q24" s="384"/>
      <c r="R24" s="384"/>
      <c r="S24" s="404"/>
      <c r="T24" s="384"/>
      <c r="U24" s="386"/>
    </row>
    <row r="25" spans="1:22">
      <c r="A25" s="381"/>
      <c r="B25" s="219" t="str">
        <f>PortateAria!A26</f>
        <v>A103</v>
      </c>
      <c r="C25" s="219" t="str">
        <f>PortateAria!B26</f>
        <v>CORRIDOR</v>
      </c>
      <c r="D25" s="219" t="str">
        <f>PortateAria!C26</f>
        <v>NC</v>
      </c>
      <c r="E25" s="382">
        <f>PortateAria!T26</f>
        <v>950</v>
      </c>
      <c r="F25" s="383"/>
      <c r="G25" s="384"/>
      <c r="H25" s="385"/>
      <c r="I25" s="384"/>
      <c r="J25" s="384"/>
      <c r="K25" s="384"/>
      <c r="L25" s="385"/>
      <c r="M25" s="384"/>
      <c r="N25" s="384"/>
      <c r="O25" s="385"/>
      <c r="P25" s="385"/>
      <c r="Q25" s="384"/>
      <c r="R25" s="384"/>
      <c r="S25" s="404"/>
      <c r="T25" s="384"/>
      <c r="U25" s="386"/>
    </row>
    <row r="26" spans="1:22">
      <c r="A26" s="381"/>
      <c r="B26" s="219"/>
      <c r="C26" s="199"/>
      <c r="D26" s="237"/>
      <c r="E26" s="387"/>
      <c r="F26" s="384"/>
      <c r="G26" s="384"/>
      <c r="H26" s="385"/>
      <c r="I26" s="384"/>
      <c r="J26" s="384"/>
      <c r="K26" s="384"/>
      <c r="L26" s="385"/>
      <c r="M26" s="384"/>
      <c r="N26" s="384"/>
      <c r="O26" s="385"/>
      <c r="P26" s="385"/>
      <c r="Q26" s="384"/>
      <c r="R26" s="384"/>
      <c r="S26" s="404"/>
      <c r="T26" s="384"/>
      <c r="U26" s="386"/>
    </row>
    <row r="27" spans="1:22" ht="13.8" thickBot="1">
      <c r="A27" s="388"/>
      <c r="B27" s="389"/>
      <c r="C27" s="390"/>
      <c r="D27" s="405"/>
      <c r="E27" s="391"/>
      <c r="F27" s="392">
        <f>SUM(E22:E26)</f>
        <v>2150</v>
      </c>
      <c r="G27" s="393">
        <f>PortateAria!G22</f>
        <v>22</v>
      </c>
      <c r="H27" s="393">
        <f>PortateAria!H22</f>
        <v>22</v>
      </c>
      <c r="I27" s="394">
        <v>18.100000000000001</v>
      </c>
      <c r="J27" s="393">
        <f>PortateAria!O22</f>
        <v>25</v>
      </c>
      <c r="K27" s="395">
        <f>PRODUCT(F27,(J27-I27),0.3)</f>
        <v>4450.4999999999991</v>
      </c>
      <c r="L27" s="396">
        <f>MROUND(K27*(1+$V$15),50)</f>
        <v>5350</v>
      </c>
      <c r="M27" s="518">
        <v>10</v>
      </c>
      <c r="N27" s="395">
        <f>PRODUCT(K27/M27)</f>
        <v>445.0499999999999</v>
      </c>
      <c r="O27" s="397">
        <f>PRODUCT(L27/M27)</f>
        <v>535</v>
      </c>
      <c r="P27" s="398">
        <f>O27/3600</f>
        <v>0.14861111111111111</v>
      </c>
      <c r="Q27" s="399">
        <f>PRODUCT(F27,1/3600,1/2)</f>
        <v>0.2986111111111111</v>
      </c>
      <c r="R27" s="541">
        <v>0.45</v>
      </c>
      <c r="S27" s="399">
        <f>PRODUCT(Q27,1/R27)</f>
        <v>0.66358024691358031</v>
      </c>
      <c r="T27" s="541">
        <v>0.65</v>
      </c>
      <c r="U27" s="400">
        <f>F27/3600/R27/T27</f>
        <v>2.0417853751187081</v>
      </c>
    </row>
    <row r="28" spans="1:22" ht="13.8" thickBot="1">
      <c r="A28" s="373"/>
      <c r="B28" s="373"/>
      <c r="C28" s="373"/>
      <c r="D28" s="234"/>
      <c r="E28" s="373"/>
      <c r="F28" s="373"/>
      <c r="G28" s="373"/>
      <c r="H28" s="373"/>
      <c r="I28" s="373"/>
      <c r="J28" s="373"/>
      <c r="K28" s="373"/>
      <c r="L28" s="374"/>
      <c r="M28" s="373"/>
      <c r="N28" s="373"/>
      <c r="O28" s="373"/>
      <c r="P28" s="374"/>
      <c r="Q28" s="373"/>
      <c r="R28" s="373"/>
      <c r="S28" s="401"/>
      <c r="T28" s="373"/>
    </row>
    <row r="29" spans="1:22">
      <c r="A29" s="376" t="s">
        <v>408</v>
      </c>
      <c r="B29" s="406" t="str">
        <f>PortateAria!A23</f>
        <v>A002</v>
      </c>
      <c r="C29" s="406" t="str">
        <f>PortateAria!B23</f>
        <v>HANDLING AREA</v>
      </c>
      <c r="D29" s="406" t="str">
        <f>PortateAria!C23</f>
        <v>NC</v>
      </c>
      <c r="E29" s="407">
        <f>PortateAria!T23</f>
        <v>8890</v>
      </c>
      <c r="F29" s="377"/>
      <c r="G29" s="378"/>
      <c r="H29" s="379"/>
      <c r="I29" s="378"/>
      <c r="J29" s="378"/>
      <c r="K29" s="378"/>
      <c r="L29" s="379"/>
      <c r="M29" s="378"/>
      <c r="N29" s="378"/>
      <c r="O29" s="379"/>
      <c r="P29" s="379"/>
      <c r="Q29" s="378"/>
      <c r="R29" s="378"/>
      <c r="S29" s="402"/>
      <c r="T29" s="378"/>
      <c r="U29" s="380"/>
    </row>
    <row r="30" spans="1:22">
      <c r="A30" s="381"/>
      <c r="B30" s="219"/>
      <c r="C30" s="219"/>
      <c r="D30" s="219"/>
      <c r="E30" s="219"/>
      <c r="F30" s="384"/>
      <c r="G30" s="384"/>
      <c r="H30" s="385"/>
      <c r="I30" s="384"/>
      <c r="J30" s="384"/>
      <c r="K30" s="384"/>
      <c r="L30" s="385"/>
      <c r="M30" s="384"/>
      <c r="N30" s="384"/>
      <c r="O30" s="385"/>
      <c r="P30" s="385"/>
      <c r="Q30" s="384"/>
      <c r="R30" s="384"/>
      <c r="S30" s="404"/>
      <c r="T30" s="384"/>
      <c r="U30" s="386"/>
    </row>
    <row r="31" spans="1:22" ht="13.8" thickBot="1">
      <c r="A31" s="388"/>
      <c r="B31" s="389"/>
      <c r="C31" s="390"/>
      <c r="D31" s="405"/>
      <c r="E31" s="391"/>
      <c r="F31" s="392">
        <f>SUM(E29:E30)</f>
        <v>8890</v>
      </c>
      <c r="G31" s="393">
        <f>PortateAria!G23</f>
        <v>22</v>
      </c>
      <c r="H31" s="393">
        <f>PortateAria!H23</f>
        <v>22</v>
      </c>
      <c r="I31" s="394">
        <f>I27</f>
        <v>18.100000000000001</v>
      </c>
      <c r="J31" s="393">
        <f>PortateAria!O23</f>
        <v>26</v>
      </c>
      <c r="K31" s="395">
        <f>PRODUCT(F31,(J31-I31),0.3)</f>
        <v>21069.299999999996</v>
      </c>
      <c r="L31" s="396">
        <f>MROUND(K31*(1+$V$15),50)</f>
        <v>25300</v>
      </c>
      <c r="M31" s="518">
        <v>10</v>
      </c>
      <c r="N31" s="395">
        <f>PRODUCT(K31/M31)</f>
        <v>2106.9299999999994</v>
      </c>
      <c r="O31" s="397">
        <f>PRODUCT(L31/M31)</f>
        <v>2530</v>
      </c>
      <c r="P31" s="398">
        <f>O31/3600</f>
        <v>0.70277777777777772</v>
      </c>
      <c r="Q31" s="399">
        <f>PRODUCT(F31,1/3600,1/2)</f>
        <v>1.2347222222222223</v>
      </c>
      <c r="R31" s="541">
        <v>1</v>
      </c>
      <c r="S31" s="399">
        <f>PRODUCT(Q31,1/R31)</f>
        <v>1.2347222222222223</v>
      </c>
      <c r="T31" s="541">
        <v>1.25</v>
      </c>
      <c r="U31" s="400">
        <f>F31/3600/R31/T31</f>
        <v>1.9755555555555557</v>
      </c>
    </row>
    <row r="32" spans="1:22" ht="13.8" thickBot="1">
      <c r="A32" s="373"/>
      <c r="B32" s="373"/>
      <c r="C32" s="373"/>
      <c r="D32" s="234"/>
      <c r="E32" s="373"/>
      <c r="F32" s="373"/>
      <c r="G32" s="373"/>
      <c r="H32" s="373"/>
      <c r="I32" s="373"/>
      <c r="J32" s="373"/>
      <c r="K32" s="373"/>
      <c r="L32" s="374"/>
      <c r="M32" s="373"/>
      <c r="N32" s="373"/>
      <c r="O32" s="373"/>
      <c r="P32" s="374"/>
      <c r="Q32" s="373"/>
      <c r="R32" s="373"/>
      <c r="S32" s="401"/>
      <c r="T32" s="373"/>
    </row>
    <row r="33" spans="1:22">
      <c r="A33" s="376" t="s">
        <v>409</v>
      </c>
      <c r="B33" s="406" t="str">
        <f>PortateAria!A27</f>
        <v>0428</v>
      </c>
      <c r="C33" s="406" t="str">
        <f>PortateAria!B27</f>
        <v>PREDISPOSITION TO DS</v>
      </c>
      <c r="D33" s="406" t="str">
        <f>PortateAria!C27</f>
        <v>NC</v>
      </c>
      <c r="E33" s="407">
        <f>PortateAria!T27</f>
        <v>520</v>
      </c>
      <c r="F33" s="377"/>
      <c r="G33" s="378"/>
      <c r="H33" s="379"/>
      <c r="I33" s="378"/>
      <c r="J33" s="378"/>
      <c r="K33" s="378"/>
      <c r="L33" s="379"/>
      <c r="M33" s="378"/>
      <c r="N33" s="378"/>
      <c r="O33" s="379"/>
      <c r="P33" s="379"/>
      <c r="Q33" s="378"/>
      <c r="R33" s="378"/>
      <c r="S33" s="402"/>
      <c r="T33" s="378"/>
      <c r="U33" s="380"/>
    </row>
    <row r="34" spans="1:22">
      <c r="A34" s="381"/>
      <c r="B34" s="219"/>
      <c r="C34" s="219"/>
      <c r="D34" s="219"/>
      <c r="E34" s="219"/>
      <c r="F34" s="384"/>
      <c r="G34" s="384"/>
      <c r="H34" s="385"/>
      <c r="I34" s="384"/>
      <c r="J34" s="384"/>
      <c r="K34" s="384"/>
      <c r="L34" s="385"/>
      <c r="M34" s="384"/>
      <c r="N34" s="384"/>
      <c r="O34" s="385"/>
      <c r="P34" s="385"/>
      <c r="Q34" s="384"/>
      <c r="R34" s="384"/>
      <c r="S34" s="404"/>
      <c r="T34" s="384"/>
      <c r="U34" s="386"/>
    </row>
    <row r="35" spans="1:22" ht="13.8" thickBot="1">
      <c r="A35" s="388"/>
      <c r="B35" s="389"/>
      <c r="C35" s="390"/>
      <c r="D35" s="405"/>
      <c r="E35" s="391"/>
      <c r="F35" s="392">
        <f>SUM(E33:E34)</f>
        <v>520</v>
      </c>
      <c r="G35" s="393">
        <f>PortateAria!G27</f>
        <v>22</v>
      </c>
      <c r="H35" s="393">
        <f>PortateAria!H27</f>
        <v>22</v>
      </c>
      <c r="I35" s="394">
        <v>11.1</v>
      </c>
      <c r="J35" s="393">
        <f>PortateAria!O27</f>
        <v>22</v>
      </c>
      <c r="K35" s="395">
        <f>PRODUCT(F35,(J35-I35),0.3)</f>
        <v>1700.3999999999999</v>
      </c>
      <c r="L35" s="396">
        <f>MROUND(K35*(1+$V$15),50)</f>
        <v>2050</v>
      </c>
      <c r="M35" s="518">
        <v>10</v>
      </c>
      <c r="N35" s="395">
        <f>PRODUCT(K35/M35)</f>
        <v>170.04</v>
      </c>
      <c r="O35" s="397">
        <f>PRODUCT(L35/M35)</f>
        <v>205</v>
      </c>
      <c r="P35" s="398">
        <f>O35/3600</f>
        <v>5.6944444444444443E-2</v>
      </c>
      <c r="Q35" s="399">
        <f>PRODUCT(F35,1/3600,1/2)</f>
        <v>7.2222222222222215E-2</v>
      </c>
      <c r="R35" s="541">
        <v>0.2</v>
      </c>
      <c r="S35" s="399">
        <f>PRODUCT(Q35,1/R35)</f>
        <v>0.36111111111111105</v>
      </c>
      <c r="T35" s="541">
        <v>0.4</v>
      </c>
      <c r="U35" s="400">
        <f>F35/3600/R35/T35</f>
        <v>1.8055555555555551</v>
      </c>
    </row>
    <row r="36" spans="1:22" ht="13.8" thickBot="1">
      <c r="A36" s="373"/>
      <c r="B36" s="373"/>
      <c r="C36" s="373"/>
      <c r="D36" s="234"/>
      <c r="E36" s="373"/>
      <c r="F36" s="373"/>
      <c r="G36" s="373"/>
      <c r="H36" s="373"/>
      <c r="I36" s="373"/>
      <c r="J36" s="373"/>
      <c r="K36" s="373"/>
      <c r="L36" s="374"/>
      <c r="M36" s="373"/>
      <c r="N36" s="373"/>
      <c r="O36" s="373"/>
      <c r="P36" s="374"/>
      <c r="Q36" s="373"/>
      <c r="R36" s="373"/>
      <c r="S36" s="401"/>
      <c r="T36" s="373"/>
    </row>
    <row r="37" spans="1:22" s="470" customFormat="1" ht="26.4">
      <c r="A37" s="462" t="s">
        <v>410</v>
      </c>
      <c r="B37" s="463" t="str">
        <f>PortateAria!A28</f>
        <v>0437</v>
      </c>
      <c r="C37" s="463" t="str">
        <f>PortateAria!B28</f>
        <v>REVAMPING SAMPLING ON LINE (FUTURO)</v>
      </c>
      <c r="D37" s="463" t="str">
        <f>PortateAria!C28</f>
        <v>NC</v>
      </c>
      <c r="E37" s="464">
        <f>PortateAria!T28</f>
        <v>400</v>
      </c>
      <c r="F37" s="465"/>
      <c r="G37" s="466"/>
      <c r="H37" s="467"/>
      <c r="I37" s="466"/>
      <c r="J37" s="466"/>
      <c r="K37" s="466"/>
      <c r="L37" s="467"/>
      <c r="M37" s="466"/>
      <c r="N37" s="466"/>
      <c r="O37" s="467"/>
      <c r="P37" s="467"/>
      <c r="Q37" s="466"/>
      <c r="R37" s="466"/>
      <c r="S37" s="468"/>
      <c r="T37" s="466"/>
      <c r="U37" s="469"/>
    </row>
    <row r="38" spans="1:22" s="470" customFormat="1">
      <c r="A38" s="471"/>
      <c r="B38" s="472" t="str">
        <f>PortateAria!A29</f>
        <v>1278</v>
      </c>
      <c r="C38" s="472" t="str">
        <f>PortateAria!B29</f>
        <v>REVAMPING PASSAGEWAY (FUTURO)</v>
      </c>
      <c r="D38" s="472" t="str">
        <f>PortateAria!C29</f>
        <v>NC</v>
      </c>
      <c r="E38" s="473">
        <f>PortateAria!T29</f>
        <v>480</v>
      </c>
      <c r="F38" s="474"/>
      <c r="G38" s="475"/>
      <c r="H38" s="476"/>
      <c r="I38" s="475"/>
      <c r="J38" s="475"/>
      <c r="K38" s="475"/>
      <c r="L38" s="476"/>
      <c r="M38" s="475"/>
      <c r="N38" s="475"/>
      <c r="O38" s="476"/>
      <c r="P38" s="476"/>
      <c r="Q38" s="475"/>
      <c r="R38" s="475"/>
      <c r="S38" s="477"/>
      <c r="T38" s="475"/>
      <c r="U38" s="478"/>
    </row>
    <row r="39" spans="1:22" s="470" customFormat="1">
      <c r="A39" s="471"/>
      <c r="B39" s="472" t="str">
        <f>PortateAria!A30</f>
        <v>1373</v>
      </c>
      <c r="C39" s="472" t="str">
        <f>PortateAria!B30</f>
        <v>REVAMPING CALIBRATION AREA (FUTURO)</v>
      </c>
      <c r="D39" s="472" t="str">
        <f>PortateAria!C30</f>
        <v>NC</v>
      </c>
      <c r="E39" s="473">
        <f>PortateAria!T30</f>
        <v>640</v>
      </c>
      <c r="F39" s="474"/>
      <c r="G39" s="475"/>
      <c r="H39" s="476"/>
      <c r="I39" s="475"/>
      <c r="J39" s="475"/>
      <c r="K39" s="475"/>
      <c r="L39" s="476"/>
      <c r="M39" s="475"/>
      <c r="N39" s="475"/>
      <c r="O39" s="476"/>
      <c r="P39" s="476"/>
      <c r="Q39" s="475"/>
      <c r="R39" s="475"/>
      <c r="S39" s="477"/>
      <c r="T39" s="475"/>
      <c r="U39" s="478"/>
    </row>
    <row r="40" spans="1:22" s="470" customFormat="1">
      <c r="A40" s="471"/>
      <c r="B40" s="472"/>
      <c r="C40" s="472"/>
      <c r="D40" s="472"/>
      <c r="E40" s="472"/>
      <c r="F40" s="479"/>
      <c r="G40" s="479"/>
      <c r="H40" s="480"/>
      <c r="I40" s="479"/>
      <c r="J40" s="479"/>
      <c r="K40" s="479"/>
      <c r="L40" s="480"/>
      <c r="M40" s="479"/>
      <c r="N40" s="479"/>
      <c r="O40" s="480"/>
      <c r="P40" s="480"/>
      <c r="Q40" s="479"/>
      <c r="R40" s="479"/>
      <c r="S40" s="481"/>
      <c r="T40" s="479"/>
      <c r="U40" s="482"/>
    </row>
    <row r="41" spans="1:22" s="470" customFormat="1" ht="13.8" thickBot="1">
      <c r="A41" s="483"/>
      <c r="B41" s="484"/>
      <c r="C41" s="485"/>
      <c r="D41" s="486"/>
      <c r="E41" s="487"/>
      <c r="F41" s="488">
        <f>SUM(E37:E40)</f>
        <v>1520</v>
      </c>
      <c r="G41" s="489">
        <v>22</v>
      </c>
      <c r="H41" s="489">
        <v>22</v>
      </c>
      <c r="I41" s="490">
        <v>11.1</v>
      </c>
      <c r="J41" s="491">
        <f>PortateAria!O28</f>
        <v>22</v>
      </c>
      <c r="K41" s="492">
        <f>PRODUCT(F41,(J41-I41),0.3)</f>
        <v>4970.3999999999996</v>
      </c>
      <c r="L41" s="493">
        <f>MROUND(K41*(1+$V$15),50)</f>
        <v>5950</v>
      </c>
      <c r="M41" s="519">
        <v>10</v>
      </c>
      <c r="N41" s="492">
        <f>PRODUCT(K41/M41)</f>
        <v>497.03999999999996</v>
      </c>
      <c r="O41" s="494">
        <f>PRODUCT(L41/M41)</f>
        <v>595</v>
      </c>
      <c r="P41" s="495">
        <f>O41/3600</f>
        <v>0.16527777777777777</v>
      </c>
      <c r="Q41" s="496">
        <f>PRODUCT(F41,1/3600,1/2)</f>
        <v>0.21111111111111111</v>
      </c>
      <c r="R41" s="542" t="s">
        <v>276</v>
      </c>
      <c r="S41" s="496" t="s">
        <v>276</v>
      </c>
      <c r="T41" s="542" t="s">
        <v>276</v>
      </c>
      <c r="U41" s="497" t="s">
        <v>276</v>
      </c>
    </row>
    <row r="42" spans="1:22">
      <c r="A42" s="373"/>
      <c r="B42" s="373"/>
      <c r="C42" s="373"/>
      <c r="D42" s="234"/>
      <c r="E42" s="373"/>
      <c r="F42" s="373"/>
      <c r="G42" s="373"/>
      <c r="H42" s="373"/>
      <c r="I42" s="373"/>
      <c r="J42" s="373"/>
      <c r="K42" s="373"/>
      <c r="L42" s="374"/>
      <c r="M42" s="373"/>
      <c r="N42" s="373"/>
      <c r="O42" s="373"/>
      <c r="P42" s="374"/>
      <c r="Q42" s="373"/>
      <c r="R42" s="373"/>
      <c r="S42" s="401"/>
      <c r="T42" s="373"/>
    </row>
    <row r="43" spans="1:22">
      <c r="A43" s="762" t="s">
        <v>11</v>
      </c>
      <c r="B43" s="763"/>
      <c r="C43" s="764"/>
      <c r="D43" s="409"/>
      <c r="E43" s="410"/>
      <c r="F43" s="410">
        <f>F41+F35+F31+F27</f>
        <v>13080</v>
      </c>
      <c r="G43" s="411"/>
      <c r="H43" s="411"/>
      <c r="I43" s="412"/>
      <c r="J43" s="412"/>
      <c r="K43" s="412"/>
      <c r="L43" s="410">
        <f>L41+L35+L31+L27</f>
        <v>38650</v>
      </c>
      <c r="M43" s="412"/>
      <c r="N43" s="412"/>
      <c r="O43" s="410">
        <f>O41+O35+O31+O27</f>
        <v>3865</v>
      </c>
      <c r="P43" s="413">
        <f>P41+P35+P31+P27</f>
        <v>1.0736111111111111</v>
      </c>
      <c r="Q43" s="414"/>
      <c r="R43" s="414"/>
      <c r="S43" s="369"/>
      <c r="T43" s="414"/>
      <c r="U43" s="415"/>
    </row>
    <row r="45" spans="1:22">
      <c r="A45" s="373"/>
      <c r="B45" s="373"/>
      <c r="C45" s="373"/>
      <c r="D45" s="234"/>
      <c r="E45" s="373"/>
      <c r="F45" s="373"/>
      <c r="G45" s="373"/>
      <c r="H45" s="373"/>
      <c r="I45" s="373"/>
      <c r="J45" s="373"/>
      <c r="K45" s="373"/>
      <c r="L45" s="374"/>
      <c r="M45" s="373"/>
      <c r="N45" s="373"/>
      <c r="O45" s="374"/>
      <c r="P45" s="374"/>
      <c r="Q45" s="373"/>
      <c r="R45" s="373"/>
      <c r="S45" s="401"/>
      <c r="T45" s="373"/>
    </row>
    <row r="46" spans="1:22" ht="24.6">
      <c r="A46" s="765" t="s">
        <v>413</v>
      </c>
      <c r="B46" s="765"/>
      <c r="C46" s="765"/>
      <c r="D46" s="765"/>
      <c r="E46" s="765"/>
      <c r="F46" s="765"/>
      <c r="G46" s="765"/>
      <c r="H46" s="765"/>
      <c r="I46" s="765"/>
      <c r="J46" s="765"/>
      <c r="K46" s="765"/>
      <c r="L46" s="765"/>
      <c r="M46" s="765"/>
      <c r="N46" s="765"/>
      <c r="O46" s="765"/>
      <c r="P46" s="765"/>
      <c r="Q46" s="765"/>
      <c r="R46" s="765"/>
      <c r="S46" s="765"/>
      <c r="T46" s="765"/>
      <c r="U46" s="765"/>
      <c r="V46" s="372">
        <f>PortateAria!AG44</f>
        <v>0.2</v>
      </c>
    </row>
    <row r="47" spans="1:22">
      <c r="A47" s="758" t="s">
        <v>69</v>
      </c>
      <c r="B47" s="761" t="s">
        <v>29</v>
      </c>
      <c r="C47" s="761" t="s">
        <v>8</v>
      </c>
      <c r="D47" s="761" t="s">
        <v>14</v>
      </c>
      <c r="E47" s="758" t="s">
        <v>70</v>
      </c>
      <c r="F47" s="758" t="s">
        <v>71</v>
      </c>
      <c r="G47" s="760" t="s">
        <v>36</v>
      </c>
      <c r="H47" s="760" t="s">
        <v>35</v>
      </c>
      <c r="I47" s="758" t="s">
        <v>43</v>
      </c>
      <c r="J47" s="758" t="s">
        <v>44</v>
      </c>
      <c r="K47" s="759" t="s">
        <v>45</v>
      </c>
      <c r="L47" s="759"/>
      <c r="M47" s="760" t="s">
        <v>72</v>
      </c>
      <c r="N47" s="759" t="s">
        <v>13</v>
      </c>
      <c r="O47" s="759"/>
      <c r="P47" s="759"/>
      <c r="Q47" s="761" t="s">
        <v>47</v>
      </c>
      <c r="R47" s="761"/>
      <c r="S47" s="761"/>
      <c r="T47" s="761"/>
      <c r="U47" s="761" t="s">
        <v>51</v>
      </c>
    </row>
    <row r="48" spans="1:22">
      <c r="A48" s="761"/>
      <c r="B48" s="761"/>
      <c r="C48" s="761"/>
      <c r="D48" s="761"/>
      <c r="E48" s="758"/>
      <c r="F48" s="758"/>
      <c r="G48" s="760"/>
      <c r="H48" s="760"/>
      <c r="I48" s="758"/>
      <c r="J48" s="758"/>
      <c r="K48" s="759"/>
      <c r="L48" s="759"/>
      <c r="M48" s="760"/>
      <c r="N48" s="759"/>
      <c r="O48" s="759"/>
      <c r="P48" s="759"/>
      <c r="Q48" s="761"/>
      <c r="R48" s="761"/>
      <c r="S48" s="761"/>
      <c r="T48" s="761"/>
      <c r="U48" s="761"/>
    </row>
    <row r="49" spans="1:22">
      <c r="A49" s="761"/>
      <c r="B49" s="761"/>
      <c r="C49" s="761"/>
      <c r="D49" s="761"/>
      <c r="E49" s="758"/>
      <c r="F49" s="758"/>
      <c r="G49" s="760"/>
      <c r="H49" s="760"/>
      <c r="I49" s="758"/>
      <c r="J49" s="758"/>
      <c r="K49" s="368" t="s">
        <v>18</v>
      </c>
      <c r="L49" s="368" t="s">
        <v>46</v>
      </c>
      <c r="M49" s="760"/>
      <c r="N49" s="368" t="s">
        <v>18</v>
      </c>
      <c r="O49" s="759" t="s">
        <v>46</v>
      </c>
      <c r="P49" s="759"/>
      <c r="Q49" s="369" t="s">
        <v>34</v>
      </c>
      <c r="R49" s="369" t="s">
        <v>48</v>
      </c>
      <c r="S49" s="369" t="s">
        <v>49</v>
      </c>
      <c r="T49" s="370" t="s">
        <v>73</v>
      </c>
      <c r="U49" s="761"/>
    </row>
    <row r="50" spans="1:22" ht="13.8" thickBot="1">
      <c r="A50" s="761"/>
      <c r="B50" s="761"/>
      <c r="C50" s="761"/>
      <c r="D50" s="761"/>
      <c r="E50" s="369" t="s">
        <v>42</v>
      </c>
      <c r="F50" s="369" t="s">
        <v>42</v>
      </c>
      <c r="G50" s="369" t="s">
        <v>3</v>
      </c>
      <c r="H50" s="369" t="s">
        <v>3</v>
      </c>
      <c r="I50" s="369" t="s">
        <v>3</v>
      </c>
      <c r="J50" s="369" t="s">
        <v>3</v>
      </c>
      <c r="K50" s="367" t="s">
        <v>507</v>
      </c>
      <c r="L50" s="367" t="s">
        <v>507</v>
      </c>
      <c r="M50" s="367" t="s">
        <v>3</v>
      </c>
      <c r="N50" s="367" t="s">
        <v>7</v>
      </c>
      <c r="O50" s="367" t="s">
        <v>7</v>
      </c>
      <c r="P50" s="367" t="s">
        <v>68</v>
      </c>
      <c r="Q50" s="369" t="s">
        <v>38</v>
      </c>
      <c r="R50" s="371" t="s">
        <v>5</v>
      </c>
      <c r="S50" s="369" t="s">
        <v>5</v>
      </c>
      <c r="T50" s="369" t="s">
        <v>5</v>
      </c>
      <c r="U50" s="369" t="s">
        <v>50</v>
      </c>
      <c r="V50" s="372"/>
    </row>
    <row r="51" spans="1:22" ht="12.75" customHeight="1">
      <c r="A51" s="373"/>
      <c r="B51" s="373"/>
      <c r="C51" s="373"/>
      <c r="D51" s="234"/>
      <c r="E51" s="373"/>
      <c r="F51" s="373"/>
      <c r="G51" s="373"/>
      <c r="H51" s="374"/>
      <c r="I51" s="375"/>
      <c r="J51" s="375"/>
      <c r="K51" s="373"/>
      <c r="L51" s="374"/>
      <c r="M51" s="373"/>
      <c r="N51" s="373"/>
      <c r="O51" s="374"/>
      <c r="P51" s="374"/>
      <c r="Q51" s="373"/>
      <c r="R51" s="766" t="s">
        <v>138</v>
      </c>
      <c r="S51" s="373"/>
      <c r="T51" s="373"/>
    </row>
    <row r="52" spans="1:22" ht="13.8" thickBot="1">
      <c r="A52" s="373"/>
      <c r="B52" s="373"/>
      <c r="C52" s="373"/>
      <c r="D52" s="234"/>
      <c r="E52" s="373"/>
      <c r="F52" s="373"/>
      <c r="G52" s="373"/>
      <c r="H52" s="374"/>
      <c r="I52" s="375"/>
      <c r="J52" s="375"/>
      <c r="K52" s="373"/>
      <c r="L52" s="374"/>
      <c r="M52" s="373"/>
      <c r="N52" s="373"/>
      <c r="O52" s="374"/>
      <c r="P52" s="374"/>
      <c r="Q52" s="373"/>
      <c r="R52" s="767"/>
      <c r="S52" s="373"/>
      <c r="T52" s="373"/>
    </row>
    <row r="53" spans="1:22">
      <c r="A53" s="376" t="s">
        <v>414</v>
      </c>
      <c r="B53" s="406" t="str">
        <f>PortateAria!A45</f>
        <v>A104</v>
      </c>
      <c r="C53" s="406" t="str">
        <f>PortateAria!B45</f>
        <v>MALE CHANGING ROOM</v>
      </c>
      <c r="D53" s="406" t="str">
        <f>PortateAria!C45</f>
        <v>NC</v>
      </c>
      <c r="E53" s="407">
        <f>PortateAria!T45</f>
        <v>350</v>
      </c>
      <c r="F53" s="408"/>
      <c r="G53" s="378"/>
      <c r="H53" s="379"/>
      <c r="I53" s="378"/>
      <c r="J53" s="378"/>
      <c r="K53" s="378"/>
      <c r="L53" s="379"/>
      <c r="M53" s="378"/>
      <c r="N53" s="378"/>
      <c r="O53" s="379"/>
      <c r="P53" s="379"/>
      <c r="Q53" s="378"/>
      <c r="R53" s="378"/>
      <c r="S53" s="402"/>
      <c r="T53" s="378"/>
      <c r="U53" s="380"/>
    </row>
    <row r="54" spans="1:22">
      <c r="A54" s="381"/>
      <c r="B54" s="219" t="str">
        <f>PortateAria!A46</f>
        <v>A105</v>
      </c>
      <c r="C54" s="219" t="str">
        <f>PortateAria!B46</f>
        <v>MALE WC</v>
      </c>
      <c r="D54" s="219" t="str">
        <f>PortateAria!C46</f>
        <v>NC</v>
      </c>
      <c r="E54" s="382">
        <f>PortateAria!T46</f>
        <v>500</v>
      </c>
      <c r="F54" s="383"/>
      <c r="G54" s="222"/>
      <c r="H54" s="229"/>
      <c r="I54" s="222"/>
      <c r="J54" s="222"/>
      <c r="K54" s="222"/>
      <c r="L54" s="229"/>
      <c r="M54" s="222"/>
      <c r="N54" s="222"/>
      <c r="O54" s="229"/>
      <c r="P54" s="229"/>
      <c r="Q54" s="222"/>
      <c r="R54" s="222"/>
      <c r="S54" s="224"/>
      <c r="T54" s="222"/>
      <c r="U54" s="403"/>
    </row>
    <row r="55" spans="1:22">
      <c r="A55" s="381"/>
      <c r="B55" s="219" t="str">
        <f>PortateAria!A47</f>
        <v>A106</v>
      </c>
      <c r="C55" s="219" t="str">
        <f>PortateAria!B47</f>
        <v>FEMALE WC</v>
      </c>
      <c r="D55" s="219" t="str">
        <f>PortateAria!C47</f>
        <v>NC</v>
      </c>
      <c r="E55" s="382">
        <f>PortateAria!T47</f>
        <v>500</v>
      </c>
      <c r="F55" s="383"/>
      <c r="G55" s="222"/>
      <c r="H55" s="229"/>
      <c r="I55" s="222"/>
      <c r="J55" s="222"/>
      <c r="K55" s="222"/>
      <c r="L55" s="229"/>
      <c r="M55" s="222"/>
      <c r="N55" s="222"/>
      <c r="O55" s="229"/>
      <c r="P55" s="229"/>
      <c r="Q55" s="222"/>
      <c r="R55" s="222"/>
      <c r="S55" s="224"/>
      <c r="T55" s="222"/>
      <c r="U55" s="403"/>
    </row>
    <row r="56" spans="1:22">
      <c r="A56" s="381"/>
      <c r="B56" s="219" t="str">
        <f>PortateAria!A48</f>
        <v>A107</v>
      </c>
      <c r="C56" s="219" t="str">
        <f>PortateAria!B48</f>
        <v>FEMALE CHANGING ROOM</v>
      </c>
      <c r="D56" s="219" t="str">
        <f>PortateAria!C48</f>
        <v>NC</v>
      </c>
      <c r="E56" s="382">
        <f>PortateAria!T48</f>
        <v>500</v>
      </c>
      <c r="F56" s="383"/>
      <c r="G56" s="222"/>
      <c r="H56" s="229"/>
      <c r="I56" s="222"/>
      <c r="J56" s="222"/>
      <c r="K56" s="222"/>
      <c r="L56" s="229"/>
      <c r="M56" s="222"/>
      <c r="N56" s="222"/>
      <c r="O56" s="229"/>
      <c r="P56" s="229"/>
      <c r="Q56" s="222"/>
      <c r="R56" s="222"/>
      <c r="S56" s="224"/>
      <c r="T56" s="222"/>
      <c r="U56" s="403"/>
    </row>
    <row r="57" spans="1:22">
      <c r="A57" s="381"/>
      <c r="B57" s="219" t="str">
        <f>PortateAria!A49</f>
        <v>A110</v>
      </c>
      <c r="C57" s="219" t="str">
        <f>PortateAria!B49</f>
        <v>SUPERVISOR ROOM</v>
      </c>
      <c r="D57" s="219" t="str">
        <f>PortateAria!C49</f>
        <v>NC</v>
      </c>
      <c r="E57" s="382">
        <f>PortateAria!T49</f>
        <v>250</v>
      </c>
      <c r="F57" s="383"/>
      <c r="G57" s="222"/>
      <c r="H57" s="229"/>
      <c r="I57" s="222"/>
      <c r="J57" s="222"/>
      <c r="K57" s="222"/>
      <c r="L57" s="229"/>
      <c r="M57" s="222"/>
      <c r="N57" s="222"/>
      <c r="O57" s="229"/>
      <c r="P57" s="229"/>
      <c r="Q57" s="222"/>
      <c r="R57" s="222"/>
      <c r="S57" s="224"/>
      <c r="T57" s="222"/>
      <c r="U57" s="403"/>
    </row>
    <row r="58" spans="1:22">
      <c r="A58" s="381"/>
      <c r="B58" s="219" t="str">
        <f>PortateAria!A50</f>
        <v>A109</v>
      </c>
      <c r="C58" s="219" t="str">
        <f>PortateAria!B50</f>
        <v>UPS ROOM</v>
      </c>
      <c r="D58" s="219" t="str">
        <f>PortateAria!C50</f>
        <v>NC</v>
      </c>
      <c r="E58" s="382">
        <f>PortateAria!T50</f>
        <v>100</v>
      </c>
      <c r="F58" s="383"/>
      <c r="G58" s="222"/>
      <c r="H58" s="229"/>
      <c r="I58" s="222"/>
      <c r="J58" s="222"/>
      <c r="K58" s="222"/>
      <c r="L58" s="229"/>
      <c r="M58" s="222"/>
      <c r="N58" s="222"/>
      <c r="O58" s="229"/>
      <c r="P58" s="229"/>
      <c r="Q58" s="222"/>
      <c r="R58" s="222"/>
      <c r="S58" s="224"/>
      <c r="T58" s="222"/>
      <c r="U58" s="403"/>
    </row>
    <row r="59" spans="1:22">
      <c r="A59" s="381"/>
      <c r="B59" s="219"/>
      <c r="C59" s="219"/>
      <c r="D59" s="219"/>
      <c r="E59" s="219"/>
      <c r="F59" s="384"/>
      <c r="G59" s="384"/>
      <c r="H59" s="385"/>
      <c r="I59" s="384"/>
      <c r="J59" s="384"/>
      <c r="K59" s="384"/>
      <c r="L59" s="385"/>
      <c r="M59" s="384"/>
      <c r="N59" s="384"/>
      <c r="O59" s="385"/>
      <c r="P59" s="385"/>
      <c r="Q59" s="384"/>
      <c r="R59" s="384"/>
      <c r="S59" s="404"/>
      <c r="T59" s="384"/>
      <c r="U59" s="386"/>
    </row>
    <row r="60" spans="1:22" ht="13.8" thickBot="1">
      <c r="A60" s="388"/>
      <c r="B60" s="389"/>
      <c r="C60" s="390"/>
      <c r="D60" s="405"/>
      <c r="E60" s="391"/>
      <c r="F60" s="392">
        <f>SUM(E53:E59)</f>
        <v>2200</v>
      </c>
      <c r="G60" s="393">
        <f>PortateAria!G45</f>
        <v>22</v>
      </c>
      <c r="H60" s="393">
        <f>PortateAria!H45</f>
        <v>22</v>
      </c>
      <c r="I60" s="394">
        <v>13.9</v>
      </c>
      <c r="J60" s="393">
        <f>PortateAria!O45</f>
        <v>22</v>
      </c>
      <c r="K60" s="395">
        <f>PRODUCT(F60,(J60-I60),0.3)</f>
        <v>5346</v>
      </c>
      <c r="L60" s="396">
        <f>MROUND(K60*(1+$V$46),50)</f>
        <v>6400</v>
      </c>
      <c r="M60" s="518">
        <v>10</v>
      </c>
      <c r="N60" s="395">
        <f>PRODUCT(K60/M60)</f>
        <v>534.6</v>
      </c>
      <c r="O60" s="397">
        <f>PRODUCT(L60/M60)</f>
        <v>640</v>
      </c>
      <c r="P60" s="398">
        <f>O60/3600</f>
        <v>0.17777777777777778</v>
      </c>
      <c r="Q60" s="399">
        <f>PRODUCT(F60,1/3600,1/2)</f>
        <v>0.30555555555555558</v>
      </c>
      <c r="R60" s="541">
        <v>0.5</v>
      </c>
      <c r="S60" s="399">
        <f>PRODUCT(Q60,1/R60)</f>
        <v>0.61111111111111116</v>
      </c>
      <c r="T60" s="541">
        <v>0.7</v>
      </c>
      <c r="U60" s="400">
        <f>F60/3600/R60/T60</f>
        <v>1.7460317460317463</v>
      </c>
    </row>
    <row r="61" spans="1:22">
      <c r="A61" s="373"/>
      <c r="B61" s="373"/>
      <c r="C61" s="373"/>
      <c r="D61" s="234"/>
      <c r="E61" s="373"/>
      <c r="F61" s="373"/>
      <c r="G61" s="373"/>
      <c r="H61" s="373"/>
      <c r="I61" s="373"/>
      <c r="J61" s="373"/>
      <c r="K61" s="373"/>
      <c r="L61" s="374"/>
      <c r="M61" s="373"/>
      <c r="N61" s="373"/>
      <c r="O61" s="373"/>
      <c r="P61" s="374"/>
      <c r="Q61" s="373"/>
      <c r="R61" s="373"/>
      <c r="S61" s="401"/>
      <c r="T61" s="373"/>
    </row>
    <row r="62" spans="1:22">
      <c r="A62" s="762" t="s">
        <v>11</v>
      </c>
      <c r="B62" s="763"/>
      <c r="C62" s="764"/>
      <c r="D62" s="409"/>
      <c r="E62" s="410"/>
      <c r="F62" s="410">
        <f>F60</f>
        <v>2200</v>
      </c>
      <c r="G62" s="411"/>
      <c r="H62" s="411"/>
      <c r="I62" s="412"/>
      <c r="J62" s="412"/>
      <c r="K62" s="412"/>
      <c r="L62" s="410">
        <f>L60</f>
        <v>6400</v>
      </c>
      <c r="M62" s="412"/>
      <c r="N62" s="412"/>
      <c r="O62" s="410">
        <f t="shared" ref="O62:P62" si="0">O60</f>
        <v>640</v>
      </c>
      <c r="P62" s="413">
        <f t="shared" si="0"/>
        <v>0.17777777777777778</v>
      </c>
      <c r="Q62" s="414"/>
      <c r="R62" s="414"/>
      <c r="S62" s="369"/>
      <c r="T62" s="414"/>
      <c r="U62" s="415"/>
    </row>
    <row r="64" spans="1:22">
      <c r="A64" s="373"/>
      <c r="B64" s="373"/>
      <c r="C64" s="373"/>
      <c r="D64" s="234"/>
      <c r="E64" s="373"/>
      <c r="F64" s="373"/>
      <c r="G64" s="373"/>
      <c r="H64" s="373"/>
      <c r="I64" s="373"/>
      <c r="J64" s="373"/>
      <c r="K64" s="373"/>
      <c r="L64" s="374"/>
      <c r="M64" s="373"/>
      <c r="N64" s="373"/>
      <c r="O64" s="374"/>
      <c r="P64" s="374"/>
      <c r="Q64" s="373"/>
      <c r="R64" s="373"/>
      <c r="S64" s="401"/>
      <c r="T64" s="373"/>
    </row>
    <row r="65" spans="1:22" ht="24.6">
      <c r="A65" s="765" t="s">
        <v>417</v>
      </c>
      <c r="B65" s="765"/>
      <c r="C65" s="765"/>
      <c r="D65" s="765"/>
      <c r="E65" s="765"/>
      <c r="F65" s="765"/>
      <c r="G65" s="765"/>
      <c r="H65" s="765"/>
      <c r="I65" s="765"/>
      <c r="J65" s="765"/>
      <c r="K65" s="765"/>
      <c r="L65" s="765"/>
      <c r="M65" s="765"/>
      <c r="N65" s="765"/>
      <c r="O65" s="765"/>
      <c r="P65" s="765"/>
      <c r="Q65" s="765"/>
      <c r="R65" s="765"/>
      <c r="S65" s="765"/>
      <c r="T65" s="765"/>
      <c r="U65" s="765"/>
      <c r="V65" s="372">
        <f>PortateAria!AG64</f>
        <v>0.2</v>
      </c>
    </row>
    <row r="66" spans="1:22">
      <c r="A66" s="758" t="s">
        <v>69</v>
      </c>
      <c r="B66" s="761" t="s">
        <v>29</v>
      </c>
      <c r="C66" s="761" t="s">
        <v>8</v>
      </c>
      <c r="D66" s="761" t="s">
        <v>14</v>
      </c>
      <c r="E66" s="758" t="s">
        <v>70</v>
      </c>
      <c r="F66" s="758" t="s">
        <v>71</v>
      </c>
      <c r="G66" s="760" t="s">
        <v>36</v>
      </c>
      <c r="H66" s="760" t="s">
        <v>35</v>
      </c>
      <c r="I66" s="758" t="s">
        <v>43</v>
      </c>
      <c r="J66" s="758" t="s">
        <v>44</v>
      </c>
      <c r="K66" s="759" t="s">
        <v>45</v>
      </c>
      <c r="L66" s="759"/>
      <c r="M66" s="760" t="s">
        <v>72</v>
      </c>
      <c r="N66" s="759" t="s">
        <v>13</v>
      </c>
      <c r="O66" s="759"/>
      <c r="P66" s="759"/>
      <c r="Q66" s="761" t="s">
        <v>47</v>
      </c>
      <c r="R66" s="761"/>
      <c r="S66" s="761"/>
      <c r="T66" s="761"/>
      <c r="U66" s="761" t="s">
        <v>51</v>
      </c>
    </row>
    <row r="67" spans="1:22">
      <c r="A67" s="761"/>
      <c r="B67" s="761"/>
      <c r="C67" s="761"/>
      <c r="D67" s="761"/>
      <c r="E67" s="758"/>
      <c r="F67" s="758"/>
      <c r="G67" s="760"/>
      <c r="H67" s="760"/>
      <c r="I67" s="758"/>
      <c r="J67" s="758"/>
      <c r="K67" s="759"/>
      <c r="L67" s="759"/>
      <c r="M67" s="760"/>
      <c r="N67" s="759"/>
      <c r="O67" s="759"/>
      <c r="P67" s="759"/>
      <c r="Q67" s="761"/>
      <c r="R67" s="761"/>
      <c r="S67" s="761"/>
      <c r="T67" s="761"/>
      <c r="U67" s="761"/>
    </row>
    <row r="68" spans="1:22">
      <c r="A68" s="761"/>
      <c r="B68" s="761"/>
      <c r="C68" s="761"/>
      <c r="D68" s="761"/>
      <c r="E68" s="758"/>
      <c r="F68" s="758"/>
      <c r="G68" s="760"/>
      <c r="H68" s="760"/>
      <c r="I68" s="758"/>
      <c r="J68" s="758"/>
      <c r="K68" s="368" t="s">
        <v>18</v>
      </c>
      <c r="L68" s="368" t="s">
        <v>46</v>
      </c>
      <c r="M68" s="760"/>
      <c r="N68" s="368" t="s">
        <v>18</v>
      </c>
      <c r="O68" s="759" t="s">
        <v>46</v>
      </c>
      <c r="P68" s="759"/>
      <c r="Q68" s="369" t="s">
        <v>34</v>
      </c>
      <c r="R68" s="369" t="s">
        <v>48</v>
      </c>
      <c r="S68" s="369" t="s">
        <v>49</v>
      </c>
      <c r="T68" s="370" t="s">
        <v>73</v>
      </c>
      <c r="U68" s="761"/>
    </row>
    <row r="69" spans="1:22" ht="13.8" thickBot="1">
      <c r="A69" s="761"/>
      <c r="B69" s="761"/>
      <c r="C69" s="761"/>
      <c r="D69" s="761"/>
      <c r="E69" s="369" t="s">
        <v>42</v>
      </c>
      <c r="F69" s="369" t="s">
        <v>42</v>
      </c>
      <c r="G69" s="369" t="s">
        <v>3</v>
      </c>
      <c r="H69" s="369" t="s">
        <v>3</v>
      </c>
      <c r="I69" s="369" t="s">
        <v>3</v>
      </c>
      <c r="J69" s="369" t="s">
        <v>3</v>
      </c>
      <c r="K69" s="367" t="s">
        <v>507</v>
      </c>
      <c r="L69" s="367" t="s">
        <v>507</v>
      </c>
      <c r="M69" s="367" t="s">
        <v>3</v>
      </c>
      <c r="N69" s="367" t="s">
        <v>7</v>
      </c>
      <c r="O69" s="367" t="s">
        <v>7</v>
      </c>
      <c r="P69" s="367" t="s">
        <v>68</v>
      </c>
      <c r="Q69" s="369" t="s">
        <v>38</v>
      </c>
      <c r="R69" s="371" t="s">
        <v>5</v>
      </c>
      <c r="S69" s="369" t="s">
        <v>5</v>
      </c>
      <c r="T69" s="369" t="s">
        <v>5</v>
      </c>
      <c r="U69" s="369" t="s">
        <v>50</v>
      </c>
      <c r="V69" s="372"/>
    </row>
    <row r="70" spans="1:22" ht="12.75" customHeight="1">
      <c r="A70" s="373"/>
      <c r="B70" s="373"/>
      <c r="C70" s="373"/>
      <c r="D70" s="234"/>
      <c r="E70" s="373"/>
      <c r="F70" s="373"/>
      <c r="G70" s="373"/>
      <c r="H70" s="374"/>
      <c r="I70" s="375"/>
      <c r="J70" s="375"/>
      <c r="K70" s="373"/>
      <c r="L70" s="374"/>
      <c r="M70" s="373"/>
      <c r="N70" s="373"/>
      <c r="O70" s="374"/>
      <c r="P70" s="374"/>
      <c r="Q70" s="373"/>
      <c r="R70" s="766" t="s">
        <v>138</v>
      </c>
      <c r="S70" s="373"/>
      <c r="T70" s="373"/>
    </row>
    <row r="71" spans="1:22" ht="13.8" thickBot="1">
      <c r="A71" s="373"/>
      <c r="B71" s="373"/>
      <c r="C71" s="373"/>
      <c r="D71" s="234"/>
      <c r="E71" s="373"/>
      <c r="F71" s="373"/>
      <c r="G71" s="373"/>
      <c r="H71" s="374"/>
      <c r="I71" s="375"/>
      <c r="J71" s="375"/>
      <c r="K71" s="373"/>
      <c r="L71" s="374"/>
      <c r="M71" s="373"/>
      <c r="N71" s="373"/>
      <c r="O71" s="374"/>
      <c r="P71" s="374"/>
      <c r="Q71" s="373"/>
      <c r="R71" s="767"/>
      <c r="S71" s="373"/>
      <c r="T71" s="373"/>
    </row>
    <row r="72" spans="1:22">
      <c r="A72" s="376" t="s">
        <v>418</v>
      </c>
      <c r="B72" s="406" t="str">
        <f>PortateAria!A65</f>
        <v>E002</v>
      </c>
      <c r="C72" s="406" t="str">
        <f>PortateAria!B65</f>
        <v>LOGISTIC AIRLOCK OUT</v>
      </c>
      <c r="D72" s="406" t="str">
        <f>PortateAria!C65</f>
        <v>NC</v>
      </c>
      <c r="E72" s="407">
        <f>PortateAria!T65</f>
        <v>1000</v>
      </c>
      <c r="F72" s="408"/>
      <c r="G72" s="378"/>
      <c r="H72" s="379"/>
      <c r="I72" s="378"/>
      <c r="J72" s="378"/>
      <c r="K72" s="378"/>
      <c r="L72" s="379"/>
      <c r="M72" s="378"/>
      <c r="N72" s="378"/>
      <c r="O72" s="379"/>
      <c r="P72" s="379"/>
      <c r="Q72" s="378"/>
      <c r="R72" s="378"/>
      <c r="S72" s="402"/>
      <c r="T72" s="378"/>
      <c r="U72" s="380"/>
    </row>
    <row r="73" spans="1:22">
      <c r="A73" s="381"/>
      <c r="B73" s="219"/>
      <c r="C73" s="219"/>
      <c r="D73" s="219"/>
      <c r="E73" s="219"/>
      <c r="F73" s="384"/>
      <c r="G73" s="384"/>
      <c r="H73" s="385"/>
      <c r="I73" s="384"/>
      <c r="J73" s="384"/>
      <c r="K73" s="384"/>
      <c r="L73" s="385"/>
      <c r="M73" s="384"/>
      <c r="N73" s="384"/>
      <c r="O73" s="385"/>
      <c r="P73" s="385"/>
      <c r="Q73" s="384"/>
      <c r="R73" s="384"/>
      <c r="S73" s="404"/>
      <c r="T73" s="384"/>
      <c r="U73" s="386"/>
    </row>
    <row r="74" spans="1:22" ht="13.8" thickBot="1">
      <c r="A74" s="388"/>
      <c r="B74" s="389"/>
      <c r="C74" s="390"/>
      <c r="D74" s="405"/>
      <c r="E74" s="391"/>
      <c r="F74" s="392">
        <f>SUM(E72:E73)</f>
        <v>1000</v>
      </c>
      <c r="G74" s="393">
        <f>PortateAria!G65</f>
        <v>22</v>
      </c>
      <c r="H74" s="393">
        <f>PortateAria!H65</f>
        <v>22</v>
      </c>
      <c r="I74" s="394">
        <f>I78</f>
        <v>6.4</v>
      </c>
      <c r="J74" s="393">
        <f>PortateAria!O65</f>
        <v>24</v>
      </c>
      <c r="K74" s="395">
        <f>PRODUCT(F74,(J74-I74),0.3)</f>
        <v>5280</v>
      </c>
      <c r="L74" s="396">
        <f>MROUND(K74*(1+$V$65),50)</f>
        <v>6350</v>
      </c>
      <c r="M74" s="518">
        <v>10</v>
      </c>
      <c r="N74" s="395">
        <f>PRODUCT(K74/M74)</f>
        <v>528</v>
      </c>
      <c r="O74" s="397">
        <f>PRODUCT(L74/M74)</f>
        <v>635</v>
      </c>
      <c r="P74" s="398">
        <f>O74/3600</f>
        <v>0.1763888888888889</v>
      </c>
      <c r="Q74" s="399">
        <f>PRODUCT(F74,1/3600,1/2)</f>
        <v>0.1388888888888889</v>
      </c>
      <c r="R74" s="541">
        <v>0.35</v>
      </c>
      <c r="S74" s="399">
        <f>PRODUCT(Q74,1/R74)</f>
        <v>0.39682539682539686</v>
      </c>
      <c r="T74" s="541">
        <v>0.45</v>
      </c>
      <c r="U74" s="400">
        <f>F74/3600/R74/T74</f>
        <v>1.7636684303350971</v>
      </c>
    </row>
    <row r="75" spans="1:22" ht="13.8" thickBot="1">
      <c r="A75" s="373"/>
      <c r="B75" s="373"/>
      <c r="C75" s="373"/>
      <c r="D75" s="234"/>
      <c r="E75" s="373"/>
      <c r="F75" s="373"/>
      <c r="G75" s="373"/>
      <c r="H75" s="373"/>
      <c r="I75" s="373"/>
      <c r="J75" s="373"/>
      <c r="K75" s="373"/>
      <c r="L75" s="374"/>
      <c r="M75" s="373"/>
      <c r="N75" s="373"/>
      <c r="O75" s="373"/>
      <c r="P75" s="374"/>
      <c r="Q75" s="373"/>
      <c r="R75" s="373"/>
      <c r="S75" s="401"/>
      <c r="T75" s="373"/>
    </row>
    <row r="76" spans="1:22">
      <c r="A76" s="376" t="s">
        <v>423</v>
      </c>
      <c r="B76" s="406" t="str">
        <f>PortateAria!A66</f>
        <v>E003</v>
      </c>
      <c r="C76" s="406" t="str">
        <f>PortateAria!B66</f>
        <v>LOGISTIC AIRLOCK IN</v>
      </c>
      <c r="D76" s="406" t="str">
        <f>PortateAria!C66</f>
        <v>NC</v>
      </c>
      <c r="E76" s="407">
        <f>PortateAria!T66</f>
        <v>500</v>
      </c>
      <c r="F76" s="408"/>
      <c r="G76" s="378"/>
      <c r="H76" s="379"/>
      <c r="I76" s="378"/>
      <c r="J76" s="378"/>
      <c r="K76" s="378"/>
      <c r="L76" s="379"/>
      <c r="M76" s="378"/>
      <c r="N76" s="378"/>
      <c r="O76" s="379"/>
      <c r="P76" s="379"/>
      <c r="Q76" s="378"/>
      <c r="R76" s="378"/>
      <c r="S76" s="402"/>
      <c r="T76" s="378"/>
      <c r="U76" s="380"/>
    </row>
    <row r="77" spans="1:22">
      <c r="A77" s="381"/>
      <c r="B77" s="219"/>
      <c r="C77" s="219"/>
      <c r="D77" s="219"/>
      <c r="E77" s="219"/>
      <c r="F77" s="384"/>
      <c r="G77" s="384"/>
      <c r="H77" s="385"/>
      <c r="I77" s="384"/>
      <c r="J77" s="384"/>
      <c r="K77" s="384"/>
      <c r="L77" s="385"/>
      <c r="M77" s="384"/>
      <c r="N77" s="384"/>
      <c r="O77" s="385"/>
      <c r="P77" s="385"/>
      <c r="Q77" s="384"/>
      <c r="R77" s="384"/>
      <c r="S77" s="404"/>
      <c r="T77" s="384"/>
      <c r="U77" s="386"/>
    </row>
    <row r="78" spans="1:22" ht="13.8" thickBot="1">
      <c r="A78" s="388"/>
      <c r="B78" s="389"/>
      <c r="C78" s="390"/>
      <c r="D78" s="405"/>
      <c r="E78" s="391"/>
      <c r="F78" s="392">
        <f>SUM(E76:E77)</f>
        <v>500</v>
      </c>
      <c r="G78" s="393">
        <f>PortateAria!G66</f>
        <v>22</v>
      </c>
      <c r="H78" s="393">
        <f>PortateAria!H66</f>
        <v>22</v>
      </c>
      <c r="I78" s="394">
        <v>6.4</v>
      </c>
      <c r="J78" s="393">
        <f>PortateAria!O66</f>
        <v>24</v>
      </c>
      <c r="K78" s="395">
        <f>PRODUCT(F78,(J78-I78),0.3)</f>
        <v>2640</v>
      </c>
      <c r="L78" s="396">
        <f>MROUND(K78*(1+$V$65),50)</f>
        <v>3150</v>
      </c>
      <c r="M78" s="518">
        <v>10</v>
      </c>
      <c r="N78" s="395">
        <f>PRODUCT(K78/M78)</f>
        <v>264</v>
      </c>
      <c r="O78" s="397">
        <f>PRODUCT(L78/M78)</f>
        <v>315</v>
      </c>
      <c r="P78" s="398">
        <f>O78/3600</f>
        <v>8.7499999999999994E-2</v>
      </c>
      <c r="Q78" s="399">
        <f>PRODUCT(F78,1/3600,1/2)</f>
        <v>6.9444444444444448E-2</v>
      </c>
      <c r="R78" s="541">
        <v>0.2</v>
      </c>
      <c r="S78" s="399">
        <f>PRODUCT(Q78,1/R78)</f>
        <v>0.34722222222222221</v>
      </c>
      <c r="T78" s="541">
        <v>0.45</v>
      </c>
      <c r="U78" s="400">
        <f>F78/3600/R78/T78</f>
        <v>1.5432098765432098</v>
      </c>
    </row>
    <row r="79" spans="1:22">
      <c r="A79" s="373"/>
      <c r="B79" s="373"/>
      <c r="C79" s="373"/>
      <c r="D79" s="234"/>
      <c r="E79" s="373"/>
      <c r="F79" s="373"/>
      <c r="G79" s="373"/>
      <c r="H79" s="373"/>
      <c r="I79" s="373"/>
      <c r="J79" s="373"/>
      <c r="K79" s="373"/>
      <c r="L79" s="374"/>
      <c r="M79" s="373"/>
      <c r="N79" s="373"/>
      <c r="O79" s="373"/>
      <c r="P79" s="374"/>
      <c r="Q79" s="373"/>
      <c r="R79" s="373"/>
      <c r="S79" s="401"/>
      <c r="T79" s="373"/>
    </row>
    <row r="80" spans="1:22">
      <c r="A80" s="762" t="s">
        <v>11</v>
      </c>
      <c r="B80" s="763"/>
      <c r="C80" s="764"/>
      <c r="D80" s="409"/>
      <c r="E80" s="410"/>
      <c r="F80" s="410">
        <f>F78+F74</f>
        <v>1500</v>
      </c>
      <c r="G80" s="411"/>
      <c r="H80" s="411"/>
      <c r="I80" s="412"/>
      <c r="J80" s="412"/>
      <c r="K80" s="412"/>
      <c r="L80" s="410">
        <f>L78+L74</f>
        <v>9500</v>
      </c>
      <c r="M80" s="412"/>
      <c r="N80" s="412"/>
      <c r="O80" s="410">
        <f>O78+O74</f>
        <v>950</v>
      </c>
      <c r="P80" s="413">
        <f>P78+P74</f>
        <v>0.2638888888888889</v>
      </c>
      <c r="Q80" s="414"/>
      <c r="R80" s="414"/>
      <c r="S80" s="369"/>
      <c r="T80" s="414"/>
      <c r="U80" s="415"/>
    </row>
    <row r="82" spans="1:22">
      <c r="A82" s="373"/>
      <c r="B82" s="373"/>
      <c r="C82" s="373"/>
      <c r="D82" s="234"/>
      <c r="E82" s="373"/>
      <c r="F82" s="373"/>
      <c r="G82" s="373"/>
      <c r="H82" s="373"/>
      <c r="I82" s="373"/>
      <c r="J82" s="373"/>
      <c r="K82" s="373"/>
      <c r="L82" s="374"/>
      <c r="M82" s="373"/>
      <c r="N82" s="373"/>
      <c r="O82" s="374"/>
      <c r="P82" s="374"/>
      <c r="Q82" s="373"/>
      <c r="R82" s="373"/>
      <c r="S82" s="401"/>
      <c r="T82" s="373"/>
    </row>
    <row r="83" spans="1:22" ht="24.6">
      <c r="A83" s="765" t="s">
        <v>424</v>
      </c>
      <c r="B83" s="765"/>
      <c r="C83" s="765"/>
      <c r="D83" s="765"/>
      <c r="E83" s="765"/>
      <c r="F83" s="765"/>
      <c r="G83" s="765"/>
      <c r="H83" s="765"/>
      <c r="I83" s="765"/>
      <c r="J83" s="765"/>
      <c r="K83" s="765"/>
      <c r="L83" s="765"/>
      <c r="M83" s="765"/>
      <c r="N83" s="765"/>
      <c r="O83" s="765"/>
      <c r="P83" s="765"/>
      <c r="Q83" s="765"/>
      <c r="R83" s="765"/>
      <c r="S83" s="765"/>
      <c r="T83" s="765"/>
      <c r="U83" s="765"/>
      <c r="V83" s="372">
        <f>PortateAria!AG80</f>
        <v>0.2</v>
      </c>
    </row>
    <row r="84" spans="1:22">
      <c r="A84" s="758" t="s">
        <v>69</v>
      </c>
      <c r="B84" s="761" t="s">
        <v>29</v>
      </c>
      <c r="C84" s="761" t="s">
        <v>8</v>
      </c>
      <c r="D84" s="761" t="s">
        <v>14</v>
      </c>
      <c r="E84" s="758" t="s">
        <v>70</v>
      </c>
      <c r="F84" s="758" t="s">
        <v>71</v>
      </c>
      <c r="G84" s="760" t="s">
        <v>36</v>
      </c>
      <c r="H84" s="760" t="s">
        <v>35</v>
      </c>
      <c r="I84" s="758" t="s">
        <v>43</v>
      </c>
      <c r="J84" s="758" t="s">
        <v>44</v>
      </c>
      <c r="K84" s="759" t="s">
        <v>45</v>
      </c>
      <c r="L84" s="759"/>
      <c r="M84" s="760" t="s">
        <v>506</v>
      </c>
      <c r="N84" s="759" t="s">
        <v>13</v>
      </c>
      <c r="O84" s="759"/>
      <c r="P84" s="759"/>
      <c r="Q84" s="761" t="s">
        <v>47</v>
      </c>
      <c r="R84" s="761"/>
      <c r="S84" s="761"/>
      <c r="T84" s="761"/>
      <c r="U84" s="761" t="s">
        <v>51</v>
      </c>
    </row>
    <row r="85" spans="1:22">
      <c r="A85" s="761"/>
      <c r="B85" s="761"/>
      <c r="C85" s="761"/>
      <c r="D85" s="761"/>
      <c r="E85" s="758"/>
      <c r="F85" s="758"/>
      <c r="G85" s="760"/>
      <c r="H85" s="760"/>
      <c r="I85" s="758"/>
      <c r="J85" s="758"/>
      <c r="K85" s="759"/>
      <c r="L85" s="759"/>
      <c r="M85" s="760"/>
      <c r="N85" s="759"/>
      <c r="O85" s="759"/>
      <c r="P85" s="759"/>
      <c r="Q85" s="761"/>
      <c r="R85" s="761"/>
      <c r="S85" s="761"/>
      <c r="T85" s="761"/>
      <c r="U85" s="761"/>
    </row>
    <row r="86" spans="1:22">
      <c r="A86" s="761"/>
      <c r="B86" s="761"/>
      <c r="C86" s="761"/>
      <c r="D86" s="761"/>
      <c r="E86" s="758"/>
      <c r="F86" s="758"/>
      <c r="G86" s="760"/>
      <c r="H86" s="760"/>
      <c r="I86" s="758"/>
      <c r="J86" s="758"/>
      <c r="K86" s="368" t="s">
        <v>18</v>
      </c>
      <c r="L86" s="368" t="s">
        <v>46</v>
      </c>
      <c r="M86" s="760"/>
      <c r="N86" s="368" t="s">
        <v>18</v>
      </c>
      <c r="O86" s="759" t="s">
        <v>46</v>
      </c>
      <c r="P86" s="759"/>
      <c r="Q86" s="369" t="s">
        <v>34</v>
      </c>
      <c r="R86" s="369" t="s">
        <v>48</v>
      </c>
      <c r="S86" s="369" t="s">
        <v>49</v>
      </c>
      <c r="T86" s="370" t="s">
        <v>73</v>
      </c>
      <c r="U86" s="761"/>
    </row>
    <row r="87" spans="1:22" ht="13.8" thickBot="1">
      <c r="A87" s="761"/>
      <c r="B87" s="761"/>
      <c r="C87" s="761"/>
      <c r="D87" s="761"/>
      <c r="E87" s="369" t="s">
        <v>42</v>
      </c>
      <c r="F87" s="369" t="s">
        <v>42</v>
      </c>
      <c r="G87" s="369" t="s">
        <v>3</v>
      </c>
      <c r="H87" s="369" t="s">
        <v>3</v>
      </c>
      <c r="I87" s="369" t="s">
        <v>3</v>
      </c>
      <c r="J87" s="369" t="s">
        <v>3</v>
      </c>
      <c r="K87" s="367" t="s">
        <v>507</v>
      </c>
      <c r="L87" s="367" t="s">
        <v>507</v>
      </c>
      <c r="M87" s="367" t="s">
        <v>508</v>
      </c>
      <c r="N87" s="367" t="s">
        <v>509</v>
      </c>
      <c r="O87" s="367" t="s">
        <v>509</v>
      </c>
      <c r="P87" s="367" t="s">
        <v>510</v>
      </c>
      <c r="Q87" s="369" t="s">
        <v>38</v>
      </c>
      <c r="R87" s="371" t="s">
        <v>5</v>
      </c>
      <c r="S87" s="369" t="s">
        <v>5</v>
      </c>
      <c r="T87" s="369" t="s">
        <v>5</v>
      </c>
      <c r="U87" s="369" t="s">
        <v>50</v>
      </c>
      <c r="V87" s="372"/>
    </row>
    <row r="88" spans="1:22" ht="12.75" customHeight="1">
      <c r="A88" s="373"/>
      <c r="B88" s="373"/>
      <c r="C88" s="373"/>
      <c r="D88" s="234"/>
      <c r="E88" s="373"/>
      <c r="F88" s="373"/>
      <c r="G88" s="373"/>
      <c r="H88" s="374"/>
      <c r="I88" s="375"/>
      <c r="J88" s="375"/>
      <c r="K88" s="373"/>
      <c r="L88" s="374"/>
      <c r="M88" s="373"/>
      <c r="N88" s="373"/>
      <c r="O88" s="374"/>
      <c r="P88" s="374"/>
      <c r="Q88" s="373"/>
      <c r="R88" s="766" t="s">
        <v>138</v>
      </c>
      <c r="S88" s="373"/>
      <c r="T88" s="373"/>
    </row>
    <row r="89" spans="1:22" ht="13.8" thickBot="1">
      <c r="A89" s="373"/>
      <c r="B89" s="373"/>
      <c r="C89" s="373"/>
      <c r="D89" s="234"/>
      <c r="E89" s="373"/>
      <c r="F89" s="373"/>
      <c r="G89" s="373"/>
      <c r="H89" s="374"/>
      <c r="I89" s="375"/>
      <c r="J89" s="375"/>
      <c r="K89" s="373"/>
      <c r="L89" s="374"/>
      <c r="M89" s="373"/>
      <c r="N89" s="373"/>
      <c r="O89" s="374"/>
      <c r="P89" s="374"/>
      <c r="Q89" s="373"/>
      <c r="R89" s="767"/>
      <c r="S89" s="373"/>
      <c r="T89" s="373"/>
    </row>
    <row r="90" spans="1:22">
      <c r="A90" s="376" t="s">
        <v>425</v>
      </c>
      <c r="B90" s="406" t="str">
        <f>PortateAria!A81</f>
        <v>0605/0311</v>
      </c>
      <c r="C90" s="406" t="str">
        <f>PortateAria!B81</f>
        <v>WAREHOUSE NORTH SIDE / CORRIDOR</v>
      </c>
      <c r="D90" s="406" t="str">
        <f>PortateAria!C81</f>
        <v>NC</v>
      </c>
      <c r="E90" s="407">
        <f>PortateAria!T81</f>
        <v>6220</v>
      </c>
      <c r="F90" s="377"/>
      <c r="G90" s="378"/>
      <c r="H90" s="379"/>
      <c r="I90" s="378"/>
      <c r="J90" s="378"/>
      <c r="K90" s="378"/>
      <c r="L90" s="379"/>
      <c r="M90" s="378"/>
      <c r="N90" s="378"/>
      <c r="O90" s="379"/>
      <c r="P90" s="379"/>
      <c r="Q90" s="378"/>
      <c r="R90" s="378"/>
      <c r="S90" s="402"/>
      <c r="T90" s="378"/>
      <c r="U90" s="380"/>
    </row>
    <row r="91" spans="1:22">
      <c r="A91" s="381"/>
      <c r="B91" s="219"/>
      <c r="C91" s="199"/>
      <c r="D91" s="237"/>
      <c r="E91" s="387"/>
      <c r="F91" s="384"/>
      <c r="G91" s="384"/>
      <c r="H91" s="385"/>
      <c r="I91" s="384"/>
      <c r="J91" s="384"/>
      <c r="K91" s="384"/>
      <c r="L91" s="385"/>
      <c r="M91" s="384"/>
      <c r="N91" s="384"/>
      <c r="O91" s="385"/>
      <c r="P91" s="385"/>
      <c r="Q91" s="384"/>
      <c r="R91" s="384"/>
      <c r="S91" s="404"/>
      <c r="T91" s="384"/>
      <c r="U91" s="386"/>
    </row>
    <row r="92" spans="1:22" ht="13.8" thickBot="1">
      <c r="A92" s="388"/>
      <c r="B92" s="389"/>
      <c r="C92" s="390"/>
      <c r="D92" s="405"/>
      <c r="E92" s="391"/>
      <c r="F92" s="392">
        <f>SUM(E90:E91)</f>
        <v>6220</v>
      </c>
      <c r="G92" s="393">
        <f>PortateAria!G81</f>
        <v>22</v>
      </c>
      <c r="H92" s="393">
        <f>PortateAria!H81</f>
        <v>22</v>
      </c>
      <c r="I92" s="394">
        <v>20.9</v>
      </c>
      <c r="J92" s="393">
        <f>PortateAria!O81</f>
        <v>24</v>
      </c>
      <c r="K92" s="395">
        <f>PRODUCT(F92,(J92-I92),0.3)</f>
        <v>5784.6000000000022</v>
      </c>
      <c r="L92" s="396">
        <f>MROUND(K92*(1+$V$83),50)</f>
        <v>6950</v>
      </c>
      <c r="M92" s="518">
        <v>490</v>
      </c>
      <c r="N92" s="395">
        <f>K92/M92</f>
        <v>11.805306122448984</v>
      </c>
      <c r="O92" s="397">
        <f>PRODUCT(L92/M92)</f>
        <v>14.183673469387756</v>
      </c>
      <c r="P92" s="398">
        <f>O92/3.6</f>
        <v>3.9399092970521545</v>
      </c>
      <c r="Q92" s="399">
        <f>PRODUCT(F92,1/3600,1/2)</f>
        <v>0.86388888888888893</v>
      </c>
      <c r="R92" s="541">
        <v>0.7</v>
      </c>
      <c r="S92" s="399">
        <f>PRODUCT(Q92,1/R92)</f>
        <v>1.2341269841269842</v>
      </c>
      <c r="T92" s="541">
        <v>1.35</v>
      </c>
      <c r="U92" s="400">
        <f>F92/3600/R92/T92</f>
        <v>1.8283362727807171</v>
      </c>
    </row>
    <row r="93" spans="1:22" ht="13.8" thickBot="1">
      <c r="A93" s="373"/>
      <c r="B93" s="373"/>
      <c r="C93" s="373"/>
      <c r="D93" s="234"/>
      <c r="E93" s="373"/>
      <c r="F93" s="373"/>
      <c r="G93" s="373"/>
      <c r="H93" s="373"/>
      <c r="I93" s="373"/>
      <c r="J93" s="373"/>
      <c r="K93" s="373"/>
      <c r="L93" s="374"/>
      <c r="M93" s="373"/>
      <c r="N93" s="373"/>
      <c r="O93" s="373"/>
      <c r="P93" s="374"/>
      <c r="Q93" s="373"/>
      <c r="R93" s="373"/>
      <c r="S93" s="401"/>
      <c r="T93" s="373"/>
    </row>
    <row r="94" spans="1:22">
      <c r="A94" s="376" t="s">
        <v>496</v>
      </c>
      <c r="B94" s="406" t="str">
        <f>PortateAria!A82</f>
        <v>0606</v>
      </c>
      <c r="C94" s="406" t="str">
        <f>PortateAria!B82</f>
        <v>NO BETA AREA CORRIDOR</v>
      </c>
      <c r="D94" s="406" t="str">
        <f>PortateAria!C82</f>
        <v>NC</v>
      </c>
      <c r="E94" s="407">
        <f>PortateAria!T82</f>
        <v>4510</v>
      </c>
      <c r="F94" s="377"/>
      <c r="G94" s="378"/>
      <c r="H94" s="379"/>
      <c r="I94" s="378"/>
      <c r="J94" s="378"/>
      <c r="K94" s="378"/>
      <c r="L94" s="379"/>
      <c r="M94" s="378"/>
      <c r="N94" s="378"/>
      <c r="O94" s="379"/>
      <c r="P94" s="379"/>
      <c r="Q94" s="378"/>
      <c r="R94" s="378"/>
      <c r="S94" s="402"/>
      <c r="T94" s="378"/>
      <c r="U94" s="380"/>
    </row>
    <row r="95" spans="1:22">
      <c r="A95" s="381"/>
      <c r="B95" s="219" t="str">
        <f>PortateAria!A83</f>
        <v>0615</v>
      </c>
      <c r="C95" s="219" t="str">
        <f>PortateAria!B83</f>
        <v>WASTE MATERIAL EXIT</v>
      </c>
      <c r="D95" s="219" t="str">
        <f>PortateAria!C83</f>
        <v>NC</v>
      </c>
      <c r="E95" s="382">
        <f>PortateAria!T83</f>
        <v>520</v>
      </c>
      <c r="F95" s="384"/>
      <c r="G95" s="384"/>
      <c r="H95" s="385"/>
      <c r="I95" s="384"/>
      <c r="J95" s="384"/>
      <c r="K95" s="384"/>
      <c r="L95" s="385"/>
      <c r="M95" s="384"/>
      <c r="N95" s="384"/>
      <c r="O95" s="385"/>
      <c r="P95" s="385"/>
      <c r="Q95" s="384"/>
      <c r="R95" s="384"/>
      <c r="S95" s="404"/>
      <c r="T95" s="384"/>
      <c r="U95" s="386"/>
    </row>
    <row r="96" spans="1:22">
      <c r="A96" s="381"/>
      <c r="B96" s="219"/>
      <c r="C96" s="219"/>
      <c r="D96" s="219"/>
      <c r="E96" s="219"/>
      <c r="F96" s="384"/>
      <c r="G96" s="384"/>
      <c r="H96" s="385"/>
      <c r="I96" s="384"/>
      <c r="J96" s="384"/>
      <c r="K96" s="384"/>
      <c r="L96" s="385"/>
      <c r="M96" s="384"/>
      <c r="N96" s="384"/>
      <c r="O96" s="385"/>
      <c r="P96" s="385"/>
      <c r="Q96" s="384"/>
      <c r="R96" s="384"/>
      <c r="S96" s="404"/>
      <c r="T96" s="384"/>
      <c r="U96" s="386"/>
    </row>
    <row r="97" spans="1:21" ht="13.8" thickBot="1">
      <c r="A97" s="388"/>
      <c r="B97" s="389"/>
      <c r="C97" s="390"/>
      <c r="D97" s="405"/>
      <c r="E97" s="391"/>
      <c r="F97" s="392">
        <f>SUM(E94:E96)</f>
        <v>5030</v>
      </c>
      <c r="G97" s="393">
        <f>PortateAria!G82</f>
        <v>22</v>
      </c>
      <c r="H97" s="393">
        <f>PortateAria!H82</f>
        <v>22</v>
      </c>
      <c r="I97" s="394">
        <f>I92</f>
        <v>20.9</v>
      </c>
      <c r="J97" s="393">
        <f>PortateAria!O82</f>
        <v>26</v>
      </c>
      <c r="K97" s="395">
        <f>PRODUCT(F97,(J97-I97),0.3)</f>
        <v>7695.9000000000015</v>
      </c>
      <c r="L97" s="396">
        <f>MROUND(K97*(1+$V$83),50)</f>
        <v>9250</v>
      </c>
      <c r="M97" s="518">
        <v>490</v>
      </c>
      <c r="N97" s="395">
        <f>K97/M97</f>
        <v>15.705918367346941</v>
      </c>
      <c r="O97" s="397">
        <f>PRODUCT(L97/M97)</f>
        <v>18.877551020408163</v>
      </c>
      <c r="P97" s="398">
        <f>O97/3.6</f>
        <v>5.2437641723356005</v>
      </c>
      <c r="Q97" s="399">
        <f>PRODUCT(F97,1/3600,1/2)</f>
        <v>0.69861111111111107</v>
      </c>
      <c r="R97" s="541">
        <v>0.6</v>
      </c>
      <c r="S97" s="399">
        <f>PRODUCT(Q97,1/R97)</f>
        <v>1.1643518518518519</v>
      </c>
      <c r="T97" s="541">
        <v>1.35</v>
      </c>
      <c r="U97" s="400">
        <f>F97/3600/R97/T97</f>
        <v>1.7249657064471877</v>
      </c>
    </row>
    <row r="98" spans="1:21">
      <c r="A98" s="373"/>
      <c r="B98" s="373"/>
      <c r="C98" s="373"/>
      <c r="D98" s="234"/>
      <c r="E98" s="373"/>
      <c r="F98" s="373"/>
      <c r="G98" s="373"/>
      <c r="H98" s="373"/>
      <c r="I98" s="373"/>
      <c r="J98" s="373"/>
      <c r="K98" s="373"/>
      <c r="L98" s="374"/>
      <c r="M98" s="373"/>
      <c r="N98" s="373"/>
      <c r="O98" s="373"/>
      <c r="P98" s="374"/>
      <c r="Q98" s="373"/>
      <c r="R98" s="373"/>
      <c r="S98" s="401"/>
      <c r="T98" s="373"/>
    </row>
    <row r="99" spans="1:21">
      <c r="A99" s="762" t="s">
        <v>11</v>
      </c>
      <c r="B99" s="763"/>
      <c r="C99" s="764"/>
      <c r="D99" s="409"/>
      <c r="E99" s="410"/>
      <c r="F99" s="410">
        <f>F92+F97</f>
        <v>11250</v>
      </c>
      <c r="G99" s="411"/>
      <c r="H99" s="411"/>
      <c r="I99" s="412"/>
      <c r="J99" s="412"/>
      <c r="K99" s="412"/>
      <c r="L99" s="410">
        <f>L92+L97</f>
        <v>16200</v>
      </c>
      <c r="M99" s="412"/>
      <c r="N99" s="412"/>
      <c r="O99" s="410">
        <f>O92+O97</f>
        <v>33.061224489795919</v>
      </c>
      <c r="P99" s="413">
        <f>P92+P97</f>
        <v>9.183673469387756</v>
      </c>
      <c r="Q99" s="414"/>
      <c r="R99" s="414"/>
      <c r="S99" s="369"/>
      <c r="T99" s="414"/>
      <c r="U99" s="415"/>
    </row>
    <row r="101" spans="1:21">
      <c r="A101" s="373"/>
      <c r="B101" s="373"/>
      <c r="C101" s="373"/>
      <c r="D101" s="234"/>
      <c r="E101" s="373"/>
      <c r="F101" s="373"/>
      <c r="G101" s="373"/>
      <c r="H101" s="373"/>
      <c r="I101" s="373"/>
      <c r="J101" s="373"/>
      <c r="K101" s="373"/>
      <c r="L101" s="374"/>
      <c r="M101" s="373"/>
      <c r="N101" s="373"/>
      <c r="O101" s="373"/>
      <c r="P101" s="374"/>
      <c r="Q101" s="373"/>
      <c r="R101" s="373"/>
      <c r="S101" s="401"/>
      <c r="T101" s="373"/>
    </row>
  </sheetData>
  <mergeCells count="95">
    <mergeCell ref="R70:R71"/>
    <mergeCell ref="A80:C80"/>
    <mergeCell ref="A99:C99"/>
    <mergeCell ref="J84:J86"/>
    <mergeCell ref="K84:L85"/>
    <mergeCell ref="M84:M86"/>
    <mergeCell ref="A83:U83"/>
    <mergeCell ref="A84:A87"/>
    <mergeCell ref="B84:B87"/>
    <mergeCell ref="C84:C87"/>
    <mergeCell ref="D84:D87"/>
    <mergeCell ref="E84:E86"/>
    <mergeCell ref="F84:F86"/>
    <mergeCell ref="G84:G86"/>
    <mergeCell ref="H84:H86"/>
    <mergeCell ref="I84:I86"/>
    <mergeCell ref="N84:P85"/>
    <mergeCell ref="Q84:T85"/>
    <mergeCell ref="U84:U86"/>
    <mergeCell ref="O86:P86"/>
    <mergeCell ref="R88:R89"/>
    <mergeCell ref="M66:M68"/>
    <mergeCell ref="N66:P67"/>
    <mergeCell ref="Q66:T67"/>
    <mergeCell ref="U66:U68"/>
    <mergeCell ref="O68:P68"/>
    <mergeCell ref="G66:G68"/>
    <mergeCell ref="H66:H68"/>
    <mergeCell ref="I66:I68"/>
    <mergeCell ref="J66:J68"/>
    <mergeCell ref="K66:L67"/>
    <mergeCell ref="B66:B69"/>
    <mergeCell ref="C66:C69"/>
    <mergeCell ref="D66:D69"/>
    <mergeCell ref="E66:E68"/>
    <mergeCell ref="F66:F68"/>
    <mergeCell ref="A66:A69"/>
    <mergeCell ref="A1:U1"/>
    <mergeCell ref="A2:A5"/>
    <mergeCell ref="B2:B5"/>
    <mergeCell ref="C2:C5"/>
    <mergeCell ref="D2:D5"/>
    <mergeCell ref="E2:E4"/>
    <mergeCell ref="F2:F4"/>
    <mergeCell ref="G2:G4"/>
    <mergeCell ref="H2:H4"/>
    <mergeCell ref="I2:I4"/>
    <mergeCell ref="J2:J4"/>
    <mergeCell ref="K2:L3"/>
    <mergeCell ref="K47:L48"/>
    <mergeCell ref="M47:M49"/>
    <mergeCell ref="N47:P48"/>
    <mergeCell ref="A65:U65"/>
    <mergeCell ref="A12:C12"/>
    <mergeCell ref="A15:U15"/>
    <mergeCell ref="A16:A19"/>
    <mergeCell ref="B16:B19"/>
    <mergeCell ref="C16:C19"/>
    <mergeCell ref="Q16:T17"/>
    <mergeCell ref="U16:U18"/>
    <mergeCell ref="O18:P18"/>
    <mergeCell ref="E16:E18"/>
    <mergeCell ref="F16:F18"/>
    <mergeCell ref="G16:G18"/>
    <mergeCell ref="H16:H18"/>
    <mergeCell ref="R20:R21"/>
    <mergeCell ref="A43:C43"/>
    <mergeCell ref="I16:I18"/>
    <mergeCell ref="M2:M4"/>
    <mergeCell ref="N2:P3"/>
    <mergeCell ref="Q2:T3"/>
    <mergeCell ref="U2:U4"/>
    <mergeCell ref="R6:R7"/>
    <mergeCell ref="O4:P4"/>
    <mergeCell ref="A62:C62"/>
    <mergeCell ref="A46:U46"/>
    <mergeCell ref="A47:A50"/>
    <mergeCell ref="B47:B50"/>
    <mergeCell ref="C47:C50"/>
    <mergeCell ref="D47:D50"/>
    <mergeCell ref="E47:E49"/>
    <mergeCell ref="R51:R52"/>
    <mergeCell ref="U47:U49"/>
    <mergeCell ref="Q47:T48"/>
    <mergeCell ref="O49:P49"/>
    <mergeCell ref="F47:F49"/>
    <mergeCell ref="G47:G49"/>
    <mergeCell ref="H47:H49"/>
    <mergeCell ref="I47:I49"/>
    <mergeCell ref="J47:J49"/>
    <mergeCell ref="J16:J18"/>
    <mergeCell ref="K16:L17"/>
    <mergeCell ref="M16:M18"/>
    <mergeCell ref="N16:P17"/>
    <mergeCell ref="D16:D19"/>
  </mergeCells>
  <printOptions horizontalCentered="1"/>
  <pageMargins left="0.78740157480314965" right="0.78740157480314965" top="0.98425196850393704" bottom="0.98425196850393704" header="0.51181102362204722" footer="0.51181102362204722"/>
  <pageSetup paperSize="8" scale="58" fitToHeight="0" orientation="landscape" r:id="rId1"/>
  <headerFooter alignWithMargins="0"/>
  <rowBreaks count="1" manualBreakCount="1">
    <brk id="62" max="20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R39"/>
  <sheetViews>
    <sheetView view="pageBreakPreview" zoomScale="115" zoomScaleNormal="100" zoomScaleSheetLayoutView="115" workbookViewId="0">
      <pane ySplit="4" topLeftCell="A5" activePane="bottomLeft" state="frozenSplit"/>
      <selection pane="bottomLeft" activeCell="D14" sqref="D14"/>
    </sheetView>
  </sheetViews>
  <sheetFormatPr defaultRowHeight="13.2"/>
  <cols>
    <col min="1" max="1" width="25" bestFit="1" customWidth="1"/>
    <col min="2" max="2" width="13.33203125" bestFit="1" customWidth="1"/>
    <col min="3" max="3" width="14.5546875" bestFit="1" customWidth="1"/>
    <col min="4" max="4" width="7.44140625" customWidth="1"/>
    <col min="5" max="5" width="12.5546875" bestFit="1" customWidth="1"/>
    <col min="6" max="6" width="10.21875" customWidth="1"/>
    <col min="7" max="7" width="13.33203125" bestFit="1" customWidth="1"/>
    <col min="8" max="8" width="35.109375" bestFit="1" customWidth="1"/>
    <col min="9" max="9" width="10.5546875" bestFit="1" customWidth="1"/>
    <col min="10" max="10" width="10" bestFit="1" customWidth="1"/>
    <col min="11" max="11" width="10.5546875" bestFit="1" customWidth="1"/>
    <col min="12" max="12" width="13.44140625" bestFit="1" customWidth="1"/>
    <col min="13" max="13" width="29.33203125" bestFit="1" customWidth="1"/>
    <col min="14" max="14" width="10.6640625" bestFit="1" customWidth="1"/>
    <col min="15" max="15" width="14.33203125" customWidth="1"/>
    <col min="18" max="18" width="17" customWidth="1"/>
  </cols>
  <sheetData>
    <row r="1" spans="1:18" ht="87" customHeight="1">
      <c r="A1" s="772" t="s">
        <v>312</v>
      </c>
      <c r="B1" s="772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0" t="s">
        <v>303</v>
      </c>
      <c r="P1" s="771"/>
      <c r="Q1" s="771"/>
      <c r="R1" s="771"/>
    </row>
    <row r="2" spans="1:18" ht="12.75" customHeight="1">
      <c r="A2" s="702" t="s">
        <v>21</v>
      </c>
      <c r="B2" s="700" t="s">
        <v>519</v>
      </c>
      <c r="C2" s="700" t="s">
        <v>134</v>
      </c>
      <c r="D2" s="700" t="s">
        <v>167</v>
      </c>
      <c r="E2" s="700" t="s">
        <v>135</v>
      </c>
      <c r="F2" s="700" t="s">
        <v>165</v>
      </c>
      <c r="G2" s="700" t="s">
        <v>132</v>
      </c>
      <c r="H2" s="700" t="s">
        <v>30</v>
      </c>
      <c r="I2" s="773" t="s">
        <v>133</v>
      </c>
      <c r="J2" s="773"/>
      <c r="K2" s="773"/>
      <c r="L2" s="774" t="s">
        <v>139</v>
      </c>
      <c r="M2" s="774"/>
      <c r="N2" s="774"/>
    </row>
    <row r="3" spans="1:18" ht="13.2" customHeight="1">
      <c r="A3" s="769"/>
      <c r="B3" s="775"/>
      <c r="C3" s="775"/>
      <c r="D3" s="775"/>
      <c r="E3" s="775"/>
      <c r="F3" s="775"/>
      <c r="G3" s="775"/>
      <c r="H3" s="775"/>
      <c r="I3" s="700" t="s">
        <v>136</v>
      </c>
      <c r="J3" s="700" t="s">
        <v>137</v>
      </c>
      <c r="K3" s="700" t="s">
        <v>520</v>
      </c>
      <c r="L3" s="700" t="s">
        <v>136</v>
      </c>
      <c r="M3" s="700" t="s">
        <v>137</v>
      </c>
      <c r="N3" s="700" t="s">
        <v>520</v>
      </c>
    </row>
    <row r="4" spans="1:18">
      <c r="A4" s="768"/>
      <c r="B4" s="776"/>
      <c r="C4" s="776"/>
      <c r="D4" s="776"/>
      <c r="E4" s="776"/>
      <c r="F4" s="776"/>
      <c r="G4" s="776"/>
      <c r="H4" s="776"/>
      <c r="I4" s="768"/>
      <c r="J4" s="768"/>
      <c r="K4" s="768"/>
      <c r="L4" s="768"/>
      <c r="M4" s="768"/>
      <c r="N4" s="768"/>
      <c r="O4" s="117" t="s">
        <v>302</v>
      </c>
      <c r="P4" t="s">
        <v>164</v>
      </c>
    </row>
    <row r="5" spans="1:18">
      <c r="A5" s="150" t="s">
        <v>319</v>
      </c>
      <c r="B5" s="149" t="s">
        <v>95</v>
      </c>
      <c r="C5" s="306" t="s">
        <v>95</v>
      </c>
      <c r="D5" s="523"/>
      <c r="E5" s="302">
        <f>_xlfn.CEILING.MATH((F5)*860/5,10)</f>
        <v>7920</v>
      </c>
      <c r="F5" s="523">
        <f>26+20</f>
        <v>46</v>
      </c>
      <c r="G5" s="149" t="s">
        <v>95</v>
      </c>
      <c r="H5" s="292" t="s">
        <v>290</v>
      </c>
      <c r="I5" s="306" t="s">
        <v>95</v>
      </c>
      <c r="J5" s="305" t="s">
        <v>462</v>
      </c>
      <c r="K5" s="148"/>
      <c r="L5" s="306" t="s">
        <v>95</v>
      </c>
      <c r="M5" s="304" t="s">
        <v>468</v>
      </c>
      <c r="N5" s="149" t="s">
        <v>95</v>
      </c>
      <c r="O5" s="118" t="s">
        <v>293</v>
      </c>
      <c r="P5" s="120" t="s">
        <v>294</v>
      </c>
    </row>
    <row r="6" spans="1:18">
      <c r="A6" s="119" t="str">
        <f>'Batterie di POST'!A8</f>
        <v>RC-102-01</v>
      </c>
      <c r="B6" s="149" t="s">
        <v>95</v>
      </c>
      <c r="C6" s="113">
        <f>'Batterie di POST'!O10</f>
        <v>1585</v>
      </c>
      <c r="D6" s="543">
        <f>'Batterie di POST'!L10/860</f>
        <v>18.430232558139537</v>
      </c>
      <c r="E6" s="293" t="s">
        <v>95</v>
      </c>
      <c r="F6" s="293"/>
      <c r="G6" s="149" t="s">
        <v>95</v>
      </c>
      <c r="H6" s="292"/>
      <c r="I6" s="294" t="s">
        <v>466</v>
      </c>
      <c r="J6" s="148"/>
      <c r="K6" s="148"/>
      <c r="L6" s="304" t="s">
        <v>470</v>
      </c>
      <c r="M6" s="149"/>
      <c r="N6" s="149" t="s">
        <v>95</v>
      </c>
      <c r="O6" s="118" t="s">
        <v>291</v>
      </c>
      <c r="P6" s="120" t="s">
        <v>292</v>
      </c>
    </row>
    <row r="7" spans="1:18">
      <c r="A7" s="150"/>
      <c r="B7" s="304"/>
      <c r="C7" s="302"/>
      <c r="D7" s="546"/>
      <c r="E7" s="303"/>
      <c r="F7" s="303"/>
      <c r="G7" s="304"/>
      <c r="H7" s="150"/>
      <c r="I7" s="294"/>
      <c r="J7" s="305"/>
      <c r="K7" s="305"/>
      <c r="L7" s="294"/>
      <c r="M7" s="304"/>
      <c r="N7" s="304"/>
    </row>
    <row r="8" spans="1:18">
      <c r="A8" s="150" t="s">
        <v>338</v>
      </c>
      <c r="B8" s="149" t="s">
        <v>95</v>
      </c>
      <c r="C8" s="306" t="s">
        <v>95</v>
      </c>
      <c r="D8" s="523"/>
      <c r="E8" s="302">
        <f>_xlfn.CEILING.MATH((F8)*860/5,10)</f>
        <v>16090</v>
      </c>
      <c r="F8" s="523">
        <f>52+41.5</f>
        <v>93.5</v>
      </c>
      <c r="G8" s="149" t="s">
        <v>95</v>
      </c>
      <c r="H8" s="292" t="s">
        <v>290</v>
      </c>
      <c r="I8" s="306" t="s">
        <v>95</v>
      </c>
      <c r="J8" s="305" t="s">
        <v>463</v>
      </c>
      <c r="K8" s="148"/>
      <c r="L8" s="306" t="s">
        <v>95</v>
      </c>
      <c r="M8" s="304" t="s">
        <v>469</v>
      </c>
      <c r="N8" s="149" t="s">
        <v>95</v>
      </c>
    </row>
    <row r="9" spans="1:18">
      <c r="A9" s="119" t="str">
        <f>'Batterie di POST'!A22</f>
        <v>RC-103-01</v>
      </c>
      <c r="B9" s="149"/>
      <c r="C9" s="113">
        <f>'Batterie di POST'!O27</f>
        <v>535</v>
      </c>
      <c r="D9" s="543">
        <f>'Batterie di POST'!L27/860</f>
        <v>6.2209302325581399</v>
      </c>
      <c r="E9" s="293"/>
      <c r="F9" s="544"/>
      <c r="G9" s="149"/>
      <c r="H9" s="292"/>
      <c r="I9" s="294" t="s">
        <v>467</v>
      </c>
      <c r="J9" s="148"/>
      <c r="K9" s="148"/>
      <c r="L9" s="304" t="s">
        <v>472</v>
      </c>
      <c r="M9" s="149"/>
      <c r="N9" s="149"/>
    </row>
    <row r="10" spans="1:18">
      <c r="A10" s="119" t="str">
        <f>'Batterie di POST'!A29</f>
        <v>RC-103-02</v>
      </c>
      <c r="B10" s="149"/>
      <c r="C10" s="113">
        <f>'Batterie di POST'!O31</f>
        <v>2530</v>
      </c>
      <c r="D10" s="543">
        <f>'Batterie di POST'!L31/860</f>
        <v>29.418604651162791</v>
      </c>
      <c r="E10" s="293"/>
      <c r="F10" s="544"/>
      <c r="G10" s="149"/>
      <c r="H10" s="292"/>
      <c r="I10" s="294" t="s">
        <v>464</v>
      </c>
      <c r="J10" s="148"/>
      <c r="K10" s="148"/>
      <c r="L10" s="304" t="s">
        <v>491</v>
      </c>
      <c r="M10" s="149"/>
      <c r="N10" s="149"/>
    </row>
    <row r="11" spans="1:18">
      <c r="A11" s="119" t="str">
        <f>'Batterie di POST'!A33</f>
        <v>RC-103-03</v>
      </c>
      <c r="B11" s="149"/>
      <c r="C11" s="113">
        <f>'Batterie di POST'!O35</f>
        <v>205</v>
      </c>
      <c r="D11" s="543">
        <f>'Batterie di POST'!L35/860</f>
        <v>2.3837209302325579</v>
      </c>
      <c r="E11" s="293"/>
      <c r="F11" s="544"/>
      <c r="G11" s="149"/>
      <c r="H11" s="292"/>
      <c r="I11" s="294" t="s">
        <v>515</v>
      </c>
      <c r="J11" s="148"/>
      <c r="K11" s="148"/>
      <c r="L11" s="304" t="s">
        <v>516</v>
      </c>
      <c r="M11" s="149"/>
      <c r="N11" s="149"/>
    </row>
    <row r="12" spans="1:18">
      <c r="A12" s="119" t="str">
        <f>'Batterie di POST'!A37</f>
        <v>NA (FUTURA)</v>
      </c>
      <c r="B12" s="149"/>
      <c r="C12" s="113">
        <f>'Batterie di POST'!O41</f>
        <v>595</v>
      </c>
      <c r="D12" s="543">
        <f>'Batterie di POST'!L41/860</f>
        <v>6.9186046511627906</v>
      </c>
      <c r="E12" s="293"/>
      <c r="F12" s="544"/>
      <c r="G12" s="149"/>
      <c r="H12" s="292"/>
      <c r="I12" s="294" t="s">
        <v>467</v>
      </c>
      <c r="J12" s="148"/>
      <c r="K12" s="148"/>
      <c r="L12" s="304" t="s">
        <v>472</v>
      </c>
      <c r="M12" s="149"/>
      <c r="N12" s="149"/>
    </row>
    <row r="13" spans="1:18">
      <c r="A13" s="150"/>
      <c r="B13" s="304"/>
      <c r="C13" s="302"/>
      <c r="D13" s="546"/>
      <c r="E13" s="303"/>
      <c r="F13" s="129"/>
      <c r="G13" s="304"/>
      <c r="H13" s="150"/>
      <c r="I13" s="294"/>
      <c r="J13" s="305"/>
      <c r="K13" s="305"/>
      <c r="L13" s="294"/>
      <c r="M13" s="304"/>
      <c r="N13" s="304"/>
    </row>
    <row r="14" spans="1:18">
      <c r="A14" s="150" t="s">
        <v>459</v>
      </c>
      <c r="B14" s="149" t="s">
        <v>95</v>
      </c>
      <c r="C14" s="302">
        <f>_xlfn.CEILING.MATH((D14)*860/10,10)</f>
        <v>1040</v>
      </c>
      <c r="D14" s="523">
        <v>12</v>
      </c>
      <c r="E14" s="302">
        <f>_xlfn.CEILING.MATH((F14)*860/5,10)</f>
        <v>6630</v>
      </c>
      <c r="F14" s="523">
        <v>38.5</v>
      </c>
      <c r="G14" s="149" t="s">
        <v>95</v>
      </c>
      <c r="H14" s="292" t="s">
        <v>290</v>
      </c>
      <c r="I14" s="294" t="s">
        <v>466</v>
      </c>
      <c r="J14" s="305" t="s">
        <v>462</v>
      </c>
      <c r="K14" s="148"/>
      <c r="L14" s="304" t="s">
        <v>470</v>
      </c>
      <c r="M14" s="304" t="s">
        <v>468</v>
      </c>
      <c r="N14" s="149" t="s">
        <v>95</v>
      </c>
    </row>
    <row r="15" spans="1:18">
      <c r="A15" s="119" t="str">
        <f>'Batterie di POST'!A53</f>
        <v>RC-104-01</v>
      </c>
      <c r="B15" s="149"/>
      <c r="C15" s="113">
        <f>'Batterie di POST'!O60</f>
        <v>640</v>
      </c>
      <c r="D15" s="543">
        <f>'Batterie di POST'!L60/860</f>
        <v>7.441860465116279</v>
      </c>
      <c r="E15" s="293"/>
      <c r="F15" s="544"/>
      <c r="G15" s="149"/>
      <c r="H15" s="292"/>
      <c r="I15" s="294" t="s">
        <v>467</v>
      </c>
      <c r="J15" s="148"/>
      <c r="K15" s="148"/>
      <c r="L15" s="304" t="s">
        <v>472</v>
      </c>
      <c r="M15" s="149"/>
      <c r="N15" s="149"/>
    </row>
    <row r="16" spans="1:18">
      <c r="A16" s="150"/>
      <c r="B16" s="304"/>
      <c r="C16" s="302"/>
      <c r="D16" s="546"/>
      <c r="E16" s="303"/>
      <c r="F16" s="129"/>
      <c r="G16" s="304"/>
      <c r="H16" s="150"/>
      <c r="I16" s="294"/>
      <c r="J16" s="305"/>
      <c r="K16" s="305"/>
      <c r="L16" s="294"/>
      <c r="M16" s="304"/>
      <c r="N16" s="304"/>
    </row>
    <row r="17" spans="1:14">
      <c r="A17" s="150" t="s">
        <v>366</v>
      </c>
      <c r="B17" s="149" t="s">
        <v>95</v>
      </c>
      <c r="C17" s="306" t="s">
        <v>95</v>
      </c>
      <c r="D17" s="523"/>
      <c r="E17" s="302">
        <f>_xlfn.CEILING.MATH((F17)*860/5,10)</f>
        <v>4130</v>
      </c>
      <c r="F17" s="523">
        <f>5.5+18.5</f>
        <v>24</v>
      </c>
      <c r="G17" s="149" t="s">
        <v>95</v>
      </c>
      <c r="H17" s="292" t="s">
        <v>290</v>
      </c>
      <c r="I17" s="306" t="s">
        <v>95</v>
      </c>
      <c r="J17" s="305" t="s">
        <v>465</v>
      </c>
      <c r="K17" s="148"/>
      <c r="L17" s="306" t="s">
        <v>95</v>
      </c>
      <c r="M17" s="304" t="s">
        <v>471</v>
      </c>
      <c r="N17" s="149" t="s">
        <v>95</v>
      </c>
    </row>
    <row r="18" spans="1:14">
      <c r="A18" s="119" t="str">
        <f>'Batterie di POST'!A76</f>
        <v>RC-105-02</v>
      </c>
      <c r="B18" s="149"/>
      <c r="C18" s="113">
        <f>'Batterie di POST'!O78</f>
        <v>315</v>
      </c>
      <c r="D18" s="543">
        <f>'Batterie di POST'!L78/860</f>
        <v>3.6627906976744184</v>
      </c>
      <c r="E18" s="293"/>
      <c r="F18" s="544"/>
      <c r="G18" s="149"/>
      <c r="H18" s="292"/>
      <c r="I18" s="294" t="s">
        <v>515</v>
      </c>
      <c r="J18" s="148"/>
      <c r="K18" s="148"/>
      <c r="L18" s="304" t="s">
        <v>517</v>
      </c>
      <c r="M18" s="149"/>
      <c r="N18" s="149"/>
    </row>
    <row r="19" spans="1:14">
      <c r="A19" s="119" t="str">
        <f>'Batterie di POST'!A72</f>
        <v>RC-105-01</v>
      </c>
      <c r="B19" s="149"/>
      <c r="C19" s="113">
        <f>'Batterie di POST'!O74</f>
        <v>635</v>
      </c>
      <c r="D19" s="543">
        <f>'Batterie di POST'!L74/860</f>
        <v>7.3837209302325579</v>
      </c>
      <c r="E19" s="293"/>
      <c r="F19" s="544"/>
      <c r="G19" s="149"/>
      <c r="H19" s="292"/>
      <c r="I19" s="294" t="s">
        <v>467</v>
      </c>
      <c r="J19" s="148"/>
      <c r="K19" s="148"/>
      <c r="L19" s="304" t="s">
        <v>472</v>
      </c>
      <c r="M19" s="149"/>
      <c r="N19" s="149"/>
    </row>
    <row r="20" spans="1:14">
      <c r="A20" s="150"/>
      <c r="B20" s="304"/>
      <c r="C20" s="302"/>
      <c r="D20" s="546"/>
      <c r="E20" s="303"/>
      <c r="F20" s="129"/>
      <c r="G20" s="304"/>
      <c r="H20" s="150"/>
      <c r="I20" s="294"/>
      <c r="J20" s="305"/>
      <c r="K20" s="305"/>
      <c r="L20" s="294"/>
      <c r="M20" s="304"/>
      <c r="N20" s="304"/>
    </row>
    <row r="21" spans="1:14" s="430" customFormat="1">
      <c r="A21" s="531" t="s">
        <v>522</v>
      </c>
      <c r="B21" s="537">
        <f>SUM(B5:B6)*0.43</f>
        <v>0</v>
      </c>
      <c r="C21" s="537">
        <f>_xlfn.CEILING.MATH(SUM(C5:C6)*0.43,5)</f>
        <v>685</v>
      </c>
      <c r="D21" s="545">
        <f t="shared" ref="D21:F21" si="0">SUM(D5:D6)*0.43</f>
        <v>7.9250000000000007</v>
      </c>
      <c r="E21" s="537">
        <f t="shared" si="0"/>
        <v>3405.6</v>
      </c>
      <c r="F21" s="545">
        <f t="shared" si="0"/>
        <v>19.78</v>
      </c>
      <c r="G21" s="532"/>
      <c r="H21" s="533"/>
      <c r="I21" s="534"/>
      <c r="J21" s="535"/>
      <c r="K21" s="535"/>
      <c r="L21" s="536"/>
      <c r="M21" s="532"/>
      <c r="N21" s="532"/>
    </row>
    <row r="22" spans="1:14">
      <c r="A22" s="150"/>
      <c r="B22" s="304"/>
      <c r="C22" s="302"/>
      <c r="D22" s="546"/>
      <c r="E22" s="303"/>
      <c r="F22" s="129"/>
      <c r="G22" s="304"/>
      <c r="H22" s="150"/>
      <c r="I22" s="294"/>
      <c r="J22" s="305"/>
      <c r="K22" s="305"/>
      <c r="L22" s="294"/>
      <c r="M22" s="304"/>
      <c r="N22" s="304"/>
    </row>
    <row r="23" spans="1:14">
      <c r="A23" s="150" t="s">
        <v>480</v>
      </c>
      <c r="B23" s="149" t="s">
        <v>95</v>
      </c>
      <c r="C23" s="306">
        <f>_xlfn.CEILING.MATH(D23*860/10,10)</f>
        <v>170</v>
      </c>
      <c r="D23" s="523">
        <f>SUM('Ventilconvettori(NO PLOT)'!E7)</f>
        <v>1.8951570000000002</v>
      </c>
      <c r="E23" s="306">
        <f>_xlfn.CEILING.MATH(F23*860/5,10)</f>
        <v>2730</v>
      </c>
      <c r="F23" s="523">
        <f>SUM('Ventilconvettori(NO PLOT)'!I7)</f>
        <v>15.866514</v>
      </c>
      <c r="G23" s="149" t="s">
        <v>95</v>
      </c>
      <c r="H23" s="149" t="s">
        <v>95</v>
      </c>
      <c r="I23" s="294" t="s">
        <v>515</v>
      </c>
      <c r="J23" s="305" t="s">
        <v>464</v>
      </c>
      <c r="K23" s="148"/>
      <c r="L23" s="148"/>
      <c r="M23" s="148"/>
      <c r="N23" s="149" t="s">
        <v>95</v>
      </c>
    </row>
    <row r="24" spans="1:14">
      <c r="A24" s="150"/>
      <c r="B24" s="304"/>
      <c r="C24" s="302"/>
      <c r="D24" s="546"/>
      <c r="E24" s="303"/>
      <c r="F24" s="129"/>
      <c r="G24" s="304"/>
      <c r="H24" s="150"/>
      <c r="I24" s="294"/>
      <c r="J24" s="305"/>
      <c r="K24" s="305"/>
      <c r="L24" s="294"/>
      <c r="M24" s="304"/>
      <c r="N24" s="304"/>
    </row>
    <row r="25" spans="1:14">
      <c r="A25" s="150" t="s">
        <v>484</v>
      </c>
      <c r="B25" s="149" t="s">
        <v>95</v>
      </c>
      <c r="C25" s="306">
        <f>_xlfn.CEILING.MATH(D25*860/10,10)</f>
        <v>320</v>
      </c>
      <c r="D25" s="523">
        <f>SUM('Ventilconvettori(NO PLOT)'!E9:E14)</f>
        <v>3.6291375000000001</v>
      </c>
      <c r="E25" s="306">
        <f>_xlfn.CEILING.MATH(F25*860/5,10)</f>
        <v>2170</v>
      </c>
      <c r="F25" s="523">
        <f>SUM('Ventilconvettori(NO PLOT)'!I9:I14)</f>
        <v>12.5662415</v>
      </c>
      <c r="G25" s="149" t="s">
        <v>95</v>
      </c>
      <c r="H25" s="149" t="s">
        <v>95</v>
      </c>
      <c r="I25" s="294" t="s">
        <v>515</v>
      </c>
      <c r="J25" s="305" t="s">
        <v>464</v>
      </c>
      <c r="K25" s="148"/>
      <c r="L25" s="148"/>
      <c r="M25" s="148"/>
      <c r="N25" s="149" t="s">
        <v>95</v>
      </c>
    </row>
    <row r="26" spans="1:14">
      <c r="A26" s="150"/>
      <c r="B26" s="304"/>
      <c r="C26" s="302"/>
      <c r="D26" s="546"/>
      <c r="E26" s="303"/>
      <c r="F26" s="129"/>
      <c r="G26" s="304"/>
      <c r="H26" s="150"/>
      <c r="I26" s="294"/>
      <c r="J26" s="305"/>
      <c r="K26" s="305"/>
      <c r="L26" s="294"/>
      <c r="M26" s="304"/>
      <c r="N26" s="304"/>
    </row>
    <row r="27" spans="1:14">
      <c r="A27" s="150" t="s">
        <v>485</v>
      </c>
      <c r="B27" s="149" t="s">
        <v>95</v>
      </c>
      <c r="C27" s="306">
        <f>_xlfn.CEILING.MATH(D27*860/10,10)</f>
        <v>110</v>
      </c>
      <c r="D27" s="523">
        <f>SUM('Ventilconvettori(NO PLOT)'!E20:E20)</f>
        <v>1.2028500000000002</v>
      </c>
      <c r="E27" s="306">
        <f>_xlfn.CEILING.MATH(F27*860/5,10)</f>
        <v>1290</v>
      </c>
      <c r="F27" s="523">
        <f>SUM('Ventilconvettori(NO PLOT)'!I20:I20)</f>
        <v>7.4783500000000007</v>
      </c>
      <c r="G27" s="149" t="s">
        <v>95</v>
      </c>
      <c r="H27" s="149" t="s">
        <v>95</v>
      </c>
      <c r="I27" s="294" t="s">
        <v>515</v>
      </c>
      <c r="J27" s="305" t="s">
        <v>466</v>
      </c>
      <c r="K27" s="148"/>
      <c r="L27" s="148"/>
      <c r="M27" s="148"/>
      <c r="N27" s="149" t="s">
        <v>95</v>
      </c>
    </row>
    <row r="28" spans="1:14">
      <c r="A28" s="150"/>
      <c r="B28" s="304"/>
      <c r="C28" s="302"/>
      <c r="D28" s="302"/>
      <c r="E28" s="302"/>
      <c r="F28" s="302"/>
      <c r="G28" s="304"/>
      <c r="H28" s="150"/>
      <c r="I28" s="294"/>
      <c r="J28" s="305"/>
      <c r="K28" s="305"/>
      <c r="L28" s="294"/>
      <c r="M28" s="304"/>
      <c r="N28" s="304"/>
    </row>
    <row r="29" spans="1:14">
      <c r="A29" s="57" t="s">
        <v>486</v>
      </c>
      <c r="B29" s="114">
        <f t="shared" ref="B29:G29" si="1">SUM(B5:B28)</f>
        <v>0</v>
      </c>
      <c r="C29" s="114">
        <f>SUM(C5:C28)-MIN(C14:C15)</f>
        <v>8725</v>
      </c>
      <c r="D29" s="114">
        <f>SUM(D5:D28)-MIN(D14:D15)</f>
        <v>101.07074915116279</v>
      </c>
      <c r="E29" s="114">
        <f t="shared" si="1"/>
        <v>44365.599999999999</v>
      </c>
      <c r="F29" s="114">
        <f t="shared" si="1"/>
        <v>257.69110549999999</v>
      </c>
      <c r="G29" s="114">
        <f t="shared" si="1"/>
        <v>0</v>
      </c>
      <c r="H29" s="22"/>
      <c r="I29" s="4"/>
      <c r="J29" s="4"/>
      <c r="K29" s="4"/>
      <c r="L29" s="4"/>
      <c r="M29" s="4"/>
    </row>
    <row r="30" spans="1:14">
      <c r="A30" s="150"/>
      <c r="B30" s="304"/>
      <c r="C30" s="302"/>
      <c r="D30" s="302"/>
      <c r="E30" s="303"/>
      <c r="F30" s="303"/>
      <c r="G30" s="304"/>
      <c r="H30" s="150"/>
      <c r="I30" s="294"/>
      <c r="J30" s="305"/>
      <c r="K30" s="305"/>
      <c r="L30" s="294"/>
      <c r="M30" s="304"/>
      <c r="N30" s="304"/>
    </row>
    <row r="31" spans="1:14">
      <c r="A31" s="150" t="s">
        <v>460</v>
      </c>
      <c r="B31" s="149" t="s">
        <v>95</v>
      </c>
      <c r="C31" s="306" t="s">
        <v>95</v>
      </c>
      <c r="D31" s="306"/>
      <c r="E31" s="306">
        <f>_xlfn.CEILING.MATH(F31*860/5,10)</f>
        <v>10320</v>
      </c>
      <c r="F31" s="523">
        <f>49+11</f>
        <v>60</v>
      </c>
      <c r="G31" s="149" t="s">
        <v>95</v>
      </c>
      <c r="H31" s="292" t="s">
        <v>290</v>
      </c>
      <c r="I31" s="306" t="s">
        <v>95</v>
      </c>
      <c r="J31" s="305" t="s">
        <v>463</v>
      </c>
      <c r="K31" s="148"/>
      <c r="L31" s="306" t="s">
        <v>95</v>
      </c>
      <c r="M31" s="304" t="s">
        <v>468</v>
      </c>
      <c r="N31" s="149" t="s">
        <v>95</v>
      </c>
    </row>
    <row r="32" spans="1:14">
      <c r="A32" s="119" t="str">
        <f>'Batterie di POST'!A90</f>
        <v>RC-106-01</v>
      </c>
      <c r="B32" s="113">
        <f>'Batterie di POST'!O92</f>
        <v>14.183673469387756</v>
      </c>
      <c r="C32" s="149" t="s">
        <v>95</v>
      </c>
      <c r="D32" s="543">
        <f>'Batterie di POST'!L92/860</f>
        <v>8.0813953488372086</v>
      </c>
      <c r="E32" s="293"/>
      <c r="F32" s="293"/>
      <c r="G32" s="149"/>
      <c r="H32" s="292"/>
      <c r="I32" s="148"/>
      <c r="J32" s="148"/>
      <c r="K32" s="294" t="s">
        <v>515</v>
      </c>
      <c r="L32" s="148"/>
      <c r="M32" s="149"/>
      <c r="N32" s="304" t="s">
        <v>521</v>
      </c>
    </row>
    <row r="33" spans="1:14">
      <c r="A33" s="119" t="str">
        <f>'Batterie di POST'!A94</f>
        <v>RC-106-02</v>
      </c>
      <c r="B33" s="113">
        <f>'Batterie di POST'!O97</f>
        <v>18.877551020408163</v>
      </c>
      <c r="C33" s="149" t="s">
        <v>95</v>
      </c>
      <c r="D33" s="543">
        <f>'Batterie di POST'!L97/860</f>
        <v>10.755813953488373</v>
      </c>
      <c r="E33" s="293"/>
      <c r="F33" s="293"/>
      <c r="G33" s="149"/>
      <c r="H33" s="292"/>
      <c r="I33" s="148"/>
      <c r="J33" s="148"/>
      <c r="K33" s="294" t="s">
        <v>515</v>
      </c>
      <c r="L33" s="148"/>
      <c r="M33" s="149"/>
      <c r="N33" s="304" t="s">
        <v>521</v>
      </c>
    </row>
    <row r="34" spans="1:14">
      <c r="A34" s="150"/>
      <c r="B34" s="304"/>
      <c r="C34" s="302"/>
      <c r="D34" s="302"/>
      <c r="E34" s="303"/>
      <c r="F34" s="303"/>
      <c r="G34" s="304"/>
      <c r="H34" s="150"/>
      <c r="I34" s="294"/>
      <c r="J34" s="305"/>
      <c r="K34" s="305"/>
      <c r="L34" s="294"/>
      <c r="M34" s="304"/>
      <c r="N34" s="304"/>
    </row>
    <row r="35" spans="1:14">
      <c r="A35" s="150" t="s">
        <v>518</v>
      </c>
      <c r="B35" s="149" t="s">
        <v>95</v>
      </c>
      <c r="C35" s="306">
        <f>_xlfn.CEILING.MATH(D35*860/10,10)</f>
        <v>0</v>
      </c>
      <c r="D35" s="306">
        <v>0</v>
      </c>
      <c r="E35" s="306">
        <f>_xlfn.CEILING.MATH(F35*860/5,10)</f>
        <v>1330</v>
      </c>
      <c r="F35" s="523">
        <f>SUM('Ventilconvettori(NO PLOT)'!I16:I18)</f>
        <v>7.7176445000000014</v>
      </c>
      <c r="G35" s="149" t="s">
        <v>95</v>
      </c>
      <c r="H35" s="149" t="s">
        <v>95</v>
      </c>
      <c r="I35" s="294" t="s">
        <v>515</v>
      </c>
      <c r="J35" s="305" t="s">
        <v>466</v>
      </c>
      <c r="K35" s="148"/>
      <c r="L35" s="148"/>
      <c r="M35" s="148"/>
      <c r="N35" s="149" t="s">
        <v>95</v>
      </c>
    </row>
    <row r="36" spans="1:14">
      <c r="A36" s="58"/>
      <c r="B36" s="59"/>
      <c r="C36" s="59"/>
      <c r="D36" s="59"/>
      <c r="E36" s="59"/>
      <c r="F36" s="59"/>
      <c r="G36" s="59"/>
      <c r="H36" s="58"/>
      <c r="I36" s="60"/>
      <c r="J36" s="60"/>
      <c r="K36" s="60"/>
      <c r="L36" s="58"/>
      <c r="M36" s="58"/>
      <c r="N36" s="58"/>
    </row>
    <row r="37" spans="1:14">
      <c r="A37" s="57" t="s">
        <v>487</v>
      </c>
      <c r="B37" s="114">
        <f>SUM(B30:B35)</f>
        <v>33.061224489795919</v>
      </c>
      <c r="C37" s="114">
        <f t="shared" ref="C37:G37" si="2">SUM(C30:C35)</f>
        <v>0</v>
      </c>
      <c r="D37" s="114">
        <f t="shared" si="2"/>
        <v>18.837209302325583</v>
      </c>
      <c r="E37" s="114">
        <f t="shared" si="2"/>
        <v>11650</v>
      </c>
      <c r="F37" s="114">
        <f t="shared" si="2"/>
        <v>67.717644500000006</v>
      </c>
      <c r="G37" s="114">
        <f t="shared" si="2"/>
        <v>0</v>
      </c>
      <c r="H37" s="22"/>
      <c r="I37" s="4"/>
      <c r="J37" s="4"/>
      <c r="K37" s="4"/>
      <c r="L37" s="4"/>
      <c r="M37" s="4"/>
    </row>
    <row r="38" spans="1:14">
      <c r="A38" s="57" t="s">
        <v>140</v>
      </c>
      <c r="B38" s="115">
        <f t="shared" ref="B38:G38" si="3">B29+B37</f>
        <v>33.061224489795919</v>
      </c>
      <c r="C38" s="115">
        <f t="shared" si="3"/>
        <v>8725</v>
      </c>
      <c r="D38" s="115">
        <f t="shared" si="3"/>
        <v>119.90795845348836</v>
      </c>
      <c r="E38" s="115">
        <f t="shared" si="3"/>
        <v>56015.6</v>
      </c>
      <c r="F38" s="115">
        <f t="shared" si="3"/>
        <v>325.40875</v>
      </c>
      <c r="G38" s="115">
        <f t="shared" si="3"/>
        <v>0</v>
      </c>
      <c r="H38" s="4"/>
      <c r="I38" s="4"/>
      <c r="J38" s="4"/>
      <c r="K38" s="4"/>
      <c r="L38" s="4"/>
      <c r="M38" s="4"/>
    </row>
    <row r="39" spans="1:14">
      <c r="A39" s="58"/>
      <c r="B39" s="59"/>
      <c r="C39" s="59"/>
      <c r="D39" s="59"/>
      <c r="E39" s="59"/>
      <c r="F39" s="59"/>
      <c r="G39" s="59"/>
      <c r="H39" s="58"/>
      <c r="I39" s="60"/>
      <c r="J39" s="60"/>
      <c r="K39" s="60"/>
      <c r="L39" s="58"/>
      <c r="M39" s="58"/>
      <c r="N39" s="58"/>
    </row>
  </sheetData>
  <mergeCells count="18">
    <mergeCell ref="B2:B4"/>
    <mergeCell ref="M3:M4"/>
    <mergeCell ref="N3:N4"/>
    <mergeCell ref="A2:A4"/>
    <mergeCell ref="O1:R1"/>
    <mergeCell ref="A1:N1"/>
    <mergeCell ref="I2:K2"/>
    <mergeCell ref="L2:N2"/>
    <mergeCell ref="C2:C4"/>
    <mergeCell ref="E2:E4"/>
    <mergeCell ref="L3:L4"/>
    <mergeCell ref="G2:G4"/>
    <mergeCell ref="H2:H4"/>
    <mergeCell ref="I3:I4"/>
    <mergeCell ref="J3:J4"/>
    <mergeCell ref="K3:K4"/>
    <mergeCell ref="D2:D4"/>
    <mergeCell ref="F2:F4"/>
  </mergeCells>
  <pageMargins left="0.7" right="0.7" top="0.75" bottom="0.75" header="0.3" footer="0.3"/>
  <pageSetup paperSize="8" scale="7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X25"/>
  <sheetViews>
    <sheetView view="pageBreakPreview" zoomScale="115" zoomScaleNormal="115" zoomScaleSheetLayoutView="115" workbookViewId="0">
      <pane ySplit="6" topLeftCell="A7" activePane="bottomLeft" state="frozenSplit"/>
      <selection activeCell="D7" sqref="D7"/>
      <selection pane="bottomLeft" activeCell="F17" sqref="F17"/>
    </sheetView>
  </sheetViews>
  <sheetFormatPr defaultRowHeight="13.2"/>
  <cols>
    <col min="1" max="1" width="22.5546875" style="217" customWidth="1"/>
    <col min="2" max="2" width="8.6640625" style="217" customWidth="1"/>
    <col min="3" max="3" width="30.6640625" style="217" customWidth="1"/>
    <col min="4" max="4" width="18.21875" style="217" customWidth="1"/>
    <col min="5" max="5" width="12.77734375" style="217" customWidth="1"/>
    <col min="6" max="6" width="10.109375" style="217" customWidth="1"/>
    <col min="7" max="7" width="9.44140625" style="217" customWidth="1"/>
    <col min="8" max="9" width="12.77734375" style="217" customWidth="1"/>
    <col min="10" max="10" width="11.109375" style="217" customWidth="1"/>
    <col min="11" max="11" width="10.109375" style="217" customWidth="1"/>
    <col min="12" max="12" width="10.6640625" style="217" customWidth="1"/>
    <col min="13" max="13" width="8.5546875" style="217" bestFit="1" customWidth="1"/>
    <col min="14" max="14" width="14.33203125" style="217" customWidth="1"/>
    <col min="15" max="17" width="10.33203125" style="217" customWidth="1"/>
    <col min="18" max="21" width="8.88671875" style="217" customWidth="1"/>
    <col min="22" max="22" width="22.109375" style="217" customWidth="1"/>
    <col min="23" max="16384" width="8.88671875" style="217"/>
  </cols>
  <sheetData>
    <row r="1" spans="1:24">
      <c r="A1" s="514"/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  <c r="N1" s="514"/>
      <c r="O1" s="514"/>
      <c r="P1" s="514"/>
      <c r="Q1" s="514"/>
      <c r="R1" s="514"/>
      <c r="S1" s="514"/>
      <c r="T1" s="514"/>
      <c r="U1" s="515"/>
    </row>
    <row r="2" spans="1:24" ht="13.2" customHeight="1">
      <c r="A2" s="780" t="s">
        <v>84</v>
      </c>
      <c r="B2" s="780" t="s">
        <v>85</v>
      </c>
      <c r="C2" s="780" t="s">
        <v>8</v>
      </c>
      <c r="D2" s="780" t="s">
        <v>476</v>
      </c>
      <c r="E2" s="789" t="s">
        <v>166</v>
      </c>
      <c r="F2" s="782" t="s">
        <v>488</v>
      </c>
      <c r="G2" s="783"/>
      <c r="H2" s="779" t="s">
        <v>477</v>
      </c>
      <c r="I2" s="779" t="s">
        <v>490</v>
      </c>
      <c r="J2" s="782" t="s">
        <v>489</v>
      </c>
      <c r="K2" s="787"/>
      <c r="L2" s="783"/>
      <c r="M2" s="780" t="s">
        <v>239</v>
      </c>
      <c r="N2" s="779" t="s">
        <v>240</v>
      </c>
      <c r="O2" s="792" t="s">
        <v>241</v>
      </c>
      <c r="P2" s="792" t="s">
        <v>242</v>
      </c>
      <c r="Q2" s="779" t="s">
        <v>243</v>
      </c>
      <c r="R2" s="777" t="s">
        <v>244</v>
      </c>
      <c r="S2" s="778"/>
      <c r="T2" s="778"/>
      <c r="U2" s="778"/>
    </row>
    <row r="3" spans="1:24" ht="13.2" customHeight="1">
      <c r="A3" s="780"/>
      <c r="B3" s="780"/>
      <c r="C3" s="780"/>
      <c r="D3" s="780"/>
      <c r="E3" s="790"/>
      <c r="F3" s="777"/>
      <c r="G3" s="784"/>
      <c r="H3" s="779"/>
      <c r="I3" s="779"/>
      <c r="J3" s="777"/>
      <c r="K3" s="778"/>
      <c r="L3" s="784"/>
      <c r="M3" s="780"/>
      <c r="N3" s="779"/>
      <c r="O3" s="792"/>
      <c r="P3" s="792"/>
      <c r="Q3" s="779"/>
      <c r="R3" s="777"/>
      <c r="S3" s="778"/>
      <c r="T3" s="778"/>
      <c r="U3" s="778"/>
    </row>
    <row r="4" spans="1:24">
      <c r="A4" s="780"/>
      <c r="B4" s="780"/>
      <c r="C4" s="780"/>
      <c r="D4" s="780"/>
      <c r="E4" s="790"/>
      <c r="F4" s="777"/>
      <c r="G4" s="784"/>
      <c r="H4" s="779"/>
      <c r="I4" s="779"/>
      <c r="J4" s="777"/>
      <c r="K4" s="778"/>
      <c r="L4" s="784"/>
      <c r="M4" s="780"/>
      <c r="N4" s="779"/>
      <c r="O4" s="792"/>
      <c r="P4" s="792"/>
      <c r="Q4" s="779"/>
      <c r="R4" s="777"/>
      <c r="S4" s="778"/>
      <c r="T4" s="778"/>
      <c r="U4" s="778"/>
    </row>
    <row r="5" spans="1:24">
      <c r="A5" s="780"/>
      <c r="B5" s="780"/>
      <c r="C5" s="780"/>
      <c r="D5" s="780"/>
      <c r="E5" s="791"/>
      <c r="F5" s="785"/>
      <c r="G5" s="786"/>
      <c r="H5" s="779"/>
      <c r="I5" s="779"/>
      <c r="J5" s="785"/>
      <c r="K5" s="788"/>
      <c r="L5" s="786"/>
      <c r="M5" s="780"/>
      <c r="N5" s="779"/>
      <c r="O5" s="792"/>
      <c r="P5" s="792"/>
      <c r="Q5" s="779"/>
      <c r="R5" s="777"/>
      <c r="S5" s="778"/>
      <c r="T5" s="778"/>
      <c r="U5" s="778"/>
    </row>
    <row r="6" spans="1:24">
      <c r="A6" s="780"/>
      <c r="B6" s="780"/>
      <c r="C6" s="780"/>
      <c r="D6" s="780"/>
      <c r="E6" s="218" t="s">
        <v>167</v>
      </c>
      <c r="F6" s="218" t="s">
        <v>167</v>
      </c>
      <c r="G6" s="218" t="s">
        <v>481</v>
      </c>
      <c r="H6" s="218" t="s">
        <v>165</v>
      </c>
      <c r="I6" s="218" t="s">
        <v>165</v>
      </c>
      <c r="J6" s="218" t="s">
        <v>478</v>
      </c>
      <c r="K6" s="218" t="s">
        <v>479</v>
      </c>
      <c r="L6" s="218" t="s">
        <v>481</v>
      </c>
      <c r="M6" s="780"/>
      <c r="N6" s="218" t="s">
        <v>245</v>
      </c>
      <c r="O6" s="792"/>
      <c r="P6" s="792"/>
      <c r="Q6" s="218" t="s">
        <v>245</v>
      </c>
      <c r="R6" s="218" t="s">
        <v>167</v>
      </c>
      <c r="S6" s="218" t="s">
        <v>482</v>
      </c>
      <c r="T6" s="218" t="s">
        <v>165</v>
      </c>
      <c r="U6" s="218" t="s">
        <v>483</v>
      </c>
      <c r="W6" s="538" t="s">
        <v>482</v>
      </c>
      <c r="X6" s="538" t="s">
        <v>483</v>
      </c>
    </row>
    <row r="7" spans="1:24">
      <c r="A7" s="219" t="str">
        <f>'Design Criteria'!A15</f>
        <v>AH-103-1 + FC-103-01 (2)</v>
      </c>
      <c r="B7" s="219" t="str">
        <f>'Design Criteria'!C15</f>
        <v>0428</v>
      </c>
      <c r="C7" s="219" t="str">
        <f>'Design Criteria'!D15</f>
        <v>PREDISPOSITION TO DS</v>
      </c>
      <c r="D7" s="539" t="s">
        <v>511</v>
      </c>
      <c r="E7" s="221">
        <f>'Design Criteria'!AB15/1000</f>
        <v>1.8951570000000002</v>
      </c>
      <c r="F7" s="222">
        <v>6.46</v>
      </c>
      <c r="G7" s="383">
        <f>551</f>
        <v>551</v>
      </c>
      <c r="H7" s="223">
        <f>('Design Criteria'!AA15)/1000</f>
        <v>15.866514</v>
      </c>
      <c r="I7" s="223">
        <f>('Design Criteria'!Y15)/1000+H7</f>
        <v>15.866514</v>
      </c>
      <c r="J7" s="224">
        <v>4.6399999999999997</v>
      </c>
      <c r="K7" s="224">
        <v>6.19</v>
      </c>
      <c r="L7" s="383">
        <v>1068</v>
      </c>
      <c r="M7" s="222">
        <v>4</v>
      </c>
      <c r="N7" s="222">
        <f>135/1000</f>
        <v>0.13500000000000001</v>
      </c>
      <c r="O7" s="228">
        <f>_xlfn.CEILING.MATH(MAX(H7/J7,E7/F7),1)</f>
        <v>4</v>
      </c>
      <c r="P7" s="222">
        <v>4</v>
      </c>
      <c r="Q7" s="226">
        <f>N7*P7</f>
        <v>0.54</v>
      </c>
      <c r="R7" s="227">
        <f>F7*P7</f>
        <v>25.84</v>
      </c>
      <c r="S7" s="516">
        <f>G7*P7</f>
        <v>2204</v>
      </c>
      <c r="T7" s="227">
        <f>K7*P7</f>
        <v>24.76</v>
      </c>
      <c r="U7" s="516">
        <f>L7*P7</f>
        <v>4272</v>
      </c>
    </row>
    <row r="8" spans="1:24">
      <c r="A8" s="219"/>
      <c r="B8" s="219"/>
      <c r="C8" s="220"/>
      <c r="D8" s="539"/>
      <c r="E8" s="221"/>
      <c r="F8" s="222"/>
      <c r="G8" s="383"/>
      <c r="H8" s="223"/>
      <c r="I8" s="223"/>
      <c r="J8" s="224"/>
      <c r="K8" s="224"/>
      <c r="L8" s="383"/>
      <c r="M8" s="222"/>
      <c r="N8" s="222"/>
      <c r="O8" s="225"/>
      <c r="P8" s="222"/>
      <c r="Q8" s="226"/>
      <c r="R8" s="227"/>
      <c r="S8" s="227"/>
      <c r="T8" s="228"/>
      <c r="U8" s="228"/>
    </row>
    <row r="9" spans="1:24">
      <c r="A9" s="219" t="str">
        <f>'Design Criteria'!A20</f>
        <v>AH-104-1 + FC-104-01 (2)</v>
      </c>
      <c r="B9" s="219" t="str">
        <f>'Design Criteria'!C20</f>
        <v>A104</v>
      </c>
      <c r="C9" s="219" t="str">
        <f>'Design Criteria'!D20</f>
        <v>MALE CHANGING ROOM</v>
      </c>
      <c r="D9" s="539" t="s">
        <v>512</v>
      </c>
      <c r="E9" s="221">
        <f>'Design Criteria'!AB20/1000</f>
        <v>0.61998750000000002</v>
      </c>
      <c r="F9" s="222">
        <v>1.7</v>
      </c>
      <c r="G9" s="383">
        <f>152</f>
        <v>152</v>
      </c>
      <c r="H9" s="223">
        <f>('Design Criteria'!AA20)/1000</f>
        <v>1.4889915</v>
      </c>
      <c r="I9" s="223">
        <f>('Design Criteria'!Y20)/1000+H9</f>
        <v>2.0139914999999999</v>
      </c>
      <c r="J9" s="224">
        <v>1.24</v>
      </c>
      <c r="K9" s="224">
        <v>1.46</v>
      </c>
      <c r="L9" s="383">
        <v>253</v>
      </c>
      <c r="M9" s="222">
        <v>4</v>
      </c>
      <c r="N9" s="222">
        <f>18/1000</f>
        <v>1.7999999999999999E-2</v>
      </c>
      <c r="O9" s="228">
        <f t="shared" ref="O9:O14" si="0">_xlfn.CEILING.MATH(MAX(H9/J9,E9/F9),1)</f>
        <v>2</v>
      </c>
      <c r="P9" s="222">
        <v>2</v>
      </c>
      <c r="Q9" s="226">
        <f t="shared" ref="Q9:Q12" si="1">N9*P9</f>
        <v>3.5999999999999997E-2</v>
      </c>
      <c r="R9" s="227">
        <f t="shared" ref="R9:R12" si="2">F9*P9</f>
        <v>3.4</v>
      </c>
      <c r="S9" s="516">
        <f t="shared" ref="S9:S20" si="3">G9*P9</f>
        <v>304</v>
      </c>
      <c r="T9" s="227">
        <f t="shared" ref="T9:T12" si="4">K9*P9</f>
        <v>2.92</v>
      </c>
      <c r="U9" s="516">
        <f t="shared" ref="U9:U12" si="5">L9*P9</f>
        <v>506</v>
      </c>
      <c r="W9" s="217">
        <f>_xlfn.CEILING.MATH(SUM('Ventilconvettori(NO PLOT)'!E9)*860/10,5)</f>
        <v>55</v>
      </c>
      <c r="X9" s="217">
        <f>_xlfn.CEILING.MATH(SUM('Ventilconvettori(NO PLOT)'!I9)*860/5,10)</f>
        <v>350</v>
      </c>
    </row>
    <row r="10" spans="1:24">
      <c r="A10" s="219" t="str">
        <f>'Design Criteria'!A21</f>
        <v>AH-104-1 + FC-104-01 (2)</v>
      </c>
      <c r="B10" s="219" t="str">
        <f>'Design Criteria'!C21</f>
        <v>A105</v>
      </c>
      <c r="C10" s="219" t="str">
        <f>'Design Criteria'!D21</f>
        <v>MALE WC</v>
      </c>
      <c r="D10" s="539" t="s">
        <v>512</v>
      </c>
      <c r="E10" s="221">
        <f>'Design Criteria'!AB21/1000</f>
        <v>0.77625</v>
      </c>
      <c r="F10" s="222">
        <v>1.7</v>
      </c>
      <c r="G10" s="383">
        <f>152</f>
        <v>152</v>
      </c>
      <c r="H10" s="223">
        <f>('Design Criteria'!AA21)/1000</f>
        <v>0.63595000000000002</v>
      </c>
      <c r="I10" s="223">
        <f>('Design Criteria'!Y21)/1000+H10</f>
        <v>0.63595000000000002</v>
      </c>
      <c r="J10" s="224">
        <v>1.24</v>
      </c>
      <c r="K10" s="224">
        <v>1.46</v>
      </c>
      <c r="L10" s="383">
        <v>253</v>
      </c>
      <c r="M10" s="222">
        <v>4</v>
      </c>
      <c r="N10" s="222">
        <f t="shared" ref="N10:N13" si="6">18/1000</f>
        <v>1.7999999999999999E-2</v>
      </c>
      <c r="O10" s="228">
        <f t="shared" si="0"/>
        <v>1</v>
      </c>
      <c r="P10" s="222">
        <v>1</v>
      </c>
      <c r="Q10" s="226">
        <f t="shared" si="1"/>
        <v>1.7999999999999999E-2</v>
      </c>
      <c r="R10" s="227">
        <f t="shared" si="2"/>
        <v>1.7</v>
      </c>
      <c r="S10" s="516">
        <f t="shared" si="3"/>
        <v>152</v>
      </c>
      <c r="T10" s="227">
        <f t="shared" si="4"/>
        <v>1.46</v>
      </c>
      <c r="U10" s="516">
        <f t="shared" si="5"/>
        <v>253</v>
      </c>
      <c r="W10" s="217">
        <f>_xlfn.CEILING.MATH(SUM('Ventilconvettori(NO PLOT)'!E10)*860/10,5)</f>
        <v>70</v>
      </c>
      <c r="X10" s="217">
        <f>_xlfn.CEILING.MATH(SUM('Ventilconvettori(NO PLOT)'!I10)*860/5,10)</f>
        <v>110</v>
      </c>
    </row>
    <row r="11" spans="1:24">
      <c r="A11" s="219" t="str">
        <f>'Design Criteria'!A22</f>
        <v>AH-104-1 + FC-104-01 (2)</v>
      </c>
      <c r="B11" s="219" t="str">
        <f>'Design Criteria'!C22</f>
        <v>A106</v>
      </c>
      <c r="C11" s="219" t="str">
        <f>'Design Criteria'!D22</f>
        <v>FEMALE WC</v>
      </c>
      <c r="D11" s="539" t="s">
        <v>512</v>
      </c>
      <c r="E11" s="221">
        <f>'Design Criteria'!AB22/1000</f>
        <v>0.77625</v>
      </c>
      <c r="F11" s="222">
        <v>1.7</v>
      </c>
      <c r="G11" s="383">
        <f>152</f>
        <v>152</v>
      </c>
      <c r="H11" s="223">
        <f>('Design Criteria'!AA22)/1000</f>
        <v>0.63595000000000002</v>
      </c>
      <c r="I11" s="223">
        <f>('Design Criteria'!Y22)/1000+H11</f>
        <v>0.63595000000000002</v>
      </c>
      <c r="J11" s="224">
        <v>1.24</v>
      </c>
      <c r="K11" s="224">
        <v>1.46</v>
      </c>
      <c r="L11" s="383">
        <v>253</v>
      </c>
      <c r="M11" s="222">
        <v>4</v>
      </c>
      <c r="N11" s="222">
        <f t="shared" si="6"/>
        <v>1.7999999999999999E-2</v>
      </c>
      <c r="O11" s="228">
        <f t="shared" si="0"/>
        <v>1</v>
      </c>
      <c r="P11" s="222">
        <v>1</v>
      </c>
      <c r="Q11" s="226">
        <f t="shared" si="1"/>
        <v>1.7999999999999999E-2</v>
      </c>
      <c r="R11" s="227">
        <f t="shared" si="2"/>
        <v>1.7</v>
      </c>
      <c r="S11" s="516">
        <f t="shared" si="3"/>
        <v>152</v>
      </c>
      <c r="T11" s="227">
        <f t="shared" si="4"/>
        <v>1.46</v>
      </c>
      <c r="U11" s="516">
        <f t="shared" si="5"/>
        <v>253</v>
      </c>
      <c r="W11" s="217">
        <f>_xlfn.CEILING.MATH(SUM('Ventilconvettori(NO PLOT)'!E11)*860/10,5)</f>
        <v>70</v>
      </c>
      <c r="X11" s="217">
        <f>_xlfn.CEILING.MATH(SUM('Ventilconvettori(NO PLOT)'!I11)*860/5,10)</f>
        <v>110</v>
      </c>
    </row>
    <row r="12" spans="1:24">
      <c r="A12" s="219" t="str">
        <f>'Design Criteria'!A23</f>
        <v>AH-104-1 + FC-104-01 (2)</v>
      </c>
      <c r="B12" s="219" t="str">
        <f>'Design Criteria'!C23</f>
        <v>A107</v>
      </c>
      <c r="C12" s="219" t="str">
        <f>'Design Criteria'!D23</f>
        <v>FEMALE CHANGING ROOM</v>
      </c>
      <c r="D12" s="539" t="s">
        <v>512</v>
      </c>
      <c r="E12" s="221">
        <f>'Design Criteria'!AB23/1000</f>
        <v>0.87749999999999995</v>
      </c>
      <c r="F12" s="222">
        <v>1.7</v>
      </c>
      <c r="G12" s="383">
        <f>152</f>
        <v>152</v>
      </c>
      <c r="H12" s="223">
        <f>('Design Criteria'!AA23)/1000</f>
        <v>2.1166999999999998</v>
      </c>
      <c r="I12" s="223">
        <f>('Design Criteria'!Y23)/1000+H12</f>
        <v>2.8666999999999998</v>
      </c>
      <c r="J12" s="224">
        <v>1.24</v>
      </c>
      <c r="K12" s="224">
        <v>1.46</v>
      </c>
      <c r="L12" s="383">
        <v>253</v>
      </c>
      <c r="M12" s="222">
        <v>4</v>
      </c>
      <c r="N12" s="222">
        <f t="shared" si="6"/>
        <v>1.7999999999999999E-2</v>
      </c>
      <c r="O12" s="228">
        <f t="shared" si="0"/>
        <v>2</v>
      </c>
      <c r="P12" s="222">
        <v>2</v>
      </c>
      <c r="Q12" s="226">
        <f t="shared" si="1"/>
        <v>3.5999999999999997E-2</v>
      </c>
      <c r="R12" s="227">
        <f t="shared" si="2"/>
        <v>3.4</v>
      </c>
      <c r="S12" s="516">
        <f t="shared" si="3"/>
        <v>304</v>
      </c>
      <c r="T12" s="227">
        <f t="shared" si="4"/>
        <v>2.92</v>
      </c>
      <c r="U12" s="516">
        <f t="shared" si="5"/>
        <v>506</v>
      </c>
      <c r="W12" s="217">
        <f>_xlfn.CEILING.MATH(SUM('Ventilconvettori(NO PLOT)'!E12)*860/10,5)</f>
        <v>80</v>
      </c>
      <c r="X12" s="217">
        <f>_xlfn.CEILING.MATH(SUM('Ventilconvettori(NO PLOT)'!I12)*860/5,10)</f>
        <v>500</v>
      </c>
    </row>
    <row r="13" spans="1:24">
      <c r="A13" s="219" t="str">
        <f>'Design Criteria'!A24</f>
        <v>AH-104-1 + FC-104-01 (2)</v>
      </c>
      <c r="B13" s="219" t="str">
        <f>'Design Criteria'!C24</f>
        <v>A110</v>
      </c>
      <c r="C13" s="219" t="str">
        <f>'Design Criteria'!D24</f>
        <v>SUPERVISOR ROOM</v>
      </c>
      <c r="D13" s="539" t="s">
        <v>512</v>
      </c>
      <c r="E13" s="221">
        <f>'Design Criteria'!AB24/1000</f>
        <v>0.31185000000000002</v>
      </c>
      <c r="F13" s="222">
        <v>1.7</v>
      </c>
      <c r="G13" s="383">
        <f>152</f>
        <v>152</v>
      </c>
      <c r="H13" s="223">
        <f>('Design Criteria'!AA24)/1000</f>
        <v>0.53234999999999999</v>
      </c>
      <c r="I13" s="223">
        <f>('Design Criteria'!Y24)/1000+H13</f>
        <v>0.60734999999999995</v>
      </c>
      <c r="J13" s="224">
        <v>1.24</v>
      </c>
      <c r="K13" s="224">
        <v>1.46</v>
      </c>
      <c r="L13" s="383">
        <v>253</v>
      </c>
      <c r="M13" s="222">
        <v>4</v>
      </c>
      <c r="N13" s="222">
        <f t="shared" si="6"/>
        <v>1.7999999999999999E-2</v>
      </c>
      <c r="O13" s="228">
        <f t="shared" si="0"/>
        <v>1</v>
      </c>
      <c r="P13" s="222">
        <v>1</v>
      </c>
      <c r="Q13" s="226">
        <f t="shared" ref="Q13" si="7">N13*P13</f>
        <v>1.7999999999999999E-2</v>
      </c>
      <c r="R13" s="227">
        <f t="shared" ref="R13" si="8">F13*P13</f>
        <v>1.7</v>
      </c>
      <c r="S13" s="516">
        <f t="shared" ref="S13" si="9">G13*P13</f>
        <v>152</v>
      </c>
      <c r="T13" s="227">
        <f t="shared" ref="T13" si="10">K13*P13</f>
        <v>1.46</v>
      </c>
      <c r="U13" s="516">
        <f t="shared" ref="U13" si="11">L13*P13</f>
        <v>253</v>
      </c>
      <c r="W13" s="217">
        <f>_xlfn.CEILING.MATH(SUM('Ventilconvettori(NO PLOT)'!E13)*860/10,5)</f>
        <v>30</v>
      </c>
      <c r="X13" s="217">
        <f>_xlfn.CEILING.MATH(SUM('Ventilconvettori(NO PLOT)'!I13)*860/5,10)</f>
        <v>110</v>
      </c>
    </row>
    <row r="14" spans="1:24">
      <c r="A14" s="219" t="str">
        <f>'Design Criteria'!A25</f>
        <v>AH-104-1 + FC-104-01 (2)</v>
      </c>
      <c r="B14" s="219" t="str">
        <f>'Design Criteria'!C25</f>
        <v>A109</v>
      </c>
      <c r="C14" s="219" t="str">
        <f>'Design Criteria'!D25</f>
        <v>UPS ROOM</v>
      </c>
      <c r="D14" s="539" t="s">
        <v>511</v>
      </c>
      <c r="E14" s="221">
        <f>'Design Criteria'!AB25/1000</f>
        <v>0.26730000000000009</v>
      </c>
      <c r="F14" s="222">
        <v>6.46</v>
      </c>
      <c r="G14" s="383">
        <f>551</f>
        <v>551</v>
      </c>
      <c r="H14" s="223">
        <f>('Design Criteria'!AA25)/1000</f>
        <v>5.8063000000000002</v>
      </c>
      <c r="I14" s="223">
        <f>('Design Criteria'!Y25)/1000+H14</f>
        <v>5.8063000000000002</v>
      </c>
      <c r="J14" s="224">
        <v>4.6399999999999997</v>
      </c>
      <c r="K14" s="224">
        <v>6.19</v>
      </c>
      <c r="L14" s="383">
        <v>1068</v>
      </c>
      <c r="M14" s="222">
        <v>4</v>
      </c>
      <c r="N14" s="222">
        <f>135/1000</f>
        <v>0.13500000000000001</v>
      </c>
      <c r="O14" s="228">
        <f t="shared" si="0"/>
        <v>2</v>
      </c>
      <c r="P14" s="222">
        <v>2</v>
      </c>
      <c r="Q14" s="226">
        <f t="shared" ref="Q14" si="12">N14*P14</f>
        <v>0.27</v>
      </c>
      <c r="R14" s="227">
        <f t="shared" ref="R14" si="13">F14*P14</f>
        <v>12.92</v>
      </c>
      <c r="S14" s="516">
        <f t="shared" ref="S14" si="14">G14*P14</f>
        <v>1102</v>
      </c>
      <c r="T14" s="227">
        <f t="shared" ref="T14" si="15">K14*P14</f>
        <v>12.38</v>
      </c>
      <c r="U14" s="516">
        <f t="shared" ref="U14" si="16">L14*P14</f>
        <v>2136</v>
      </c>
      <c r="W14" s="217">
        <f>_xlfn.CEILING.MATH(SUM('Ventilconvettori(NO PLOT)'!E14)*860/10,5)</f>
        <v>25</v>
      </c>
      <c r="X14" s="217">
        <f>_xlfn.CEILING.MATH(SUM('Ventilconvettori(NO PLOT)'!I14)*860/5,10)</f>
        <v>1000</v>
      </c>
    </row>
    <row r="15" spans="1:24">
      <c r="A15" s="219"/>
      <c r="B15" s="219"/>
      <c r="C15" s="220"/>
      <c r="D15" s="539"/>
      <c r="E15" s="221"/>
      <c r="F15" s="222"/>
      <c r="G15" s="383"/>
      <c r="H15" s="223"/>
      <c r="I15" s="223"/>
      <c r="J15" s="224"/>
      <c r="K15" s="224"/>
      <c r="L15" s="383"/>
      <c r="M15" s="222"/>
      <c r="N15" s="222"/>
      <c r="O15" s="225"/>
      <c r="P15" s="222"/>
      <c r="Q15" s="226"/>
      <c r="R15" s="227"/>
      <c r="S15" s="227"/>
      <c r="T15" s="228"/>
      <c r="U15" s="228"/>
    </row>
    <row r="16" spans="1:24">
      <c r="A16" s="219" t="str">
        <f>'Design Criteria'!A34</f>
        <v>AH-107-1 + FC-107-01 (2)</v>
      </c>
      <c r="B16" s="219" t="str">
        <f>'Design Criteria'!C34</f>
        <v>B001</v>
      </c>
      <c r="C16" s="219" t="str">
        <f>'Design Criteria'!D34</f>
        <v>DS STORAGE</v>
      </c>
      <c r="D16" s="539" t="s">
        <v>514</v>
      </c>
      <c r="E16" s="221">
        <f>'Design Criteria'!AB34/1000</f>
        <v>0.8281845000000001</v>
      </c>
      <c r="F16" s="222"/>
      <c r="G16" s="383"/>
      <c r="H16" s="223">
        <f>('Design Criteria'!AA34)/1000</f>
        <v>5.8208195000000007</v>
      </c>
      <c r="I16" s="223">
        <f>('Design Criteria'!Y34)/1000+H16</f>
        <v>5.8208195000000007</v>
      </c>
      <c r="J16" s="224">
        <v>1.8</v>
      </c>
      <c r="K16" s="224">
        <v>2.52</v>
      </c>
      <c r="L16" s="383">
        <v>396</v>
      </c>
      <c r="M16" s="222" t="s">
        <v>513</v>
      </c>
      <c r="N16" s="222">
        <f>(55+2500)/1000</f>
        <v>2.5550000000000002</v>
      </c>
      <c r="O16" s="228">
        <f>_xlfn.CEILING.MATH(MAX(H16/J16),1)</f>
        <v>4</v>
      </c>
      <c r="P16" s="222">
        <v>4</v>
      </c>
      <c r="Q16" s="226">
        <f t="shared" ref="Q16:Q18" si="17">N16*P16</f>
        <v>10.220000000000001</v>
      </c>
      <c r="R16" s="227">
        <f t="shared" ref="R16:R18" si="18">F16*P16</f>
        <v>0</v>
      </c>
      <c r="S16" s="516">
        <f>G16*P16</f>
        <v>0</v>
      </c>
      <c r="T16" s="227">
        <f t="shared" ref="T16:T18" si="19">K16*P16</f>
        <v>10.08</v>
      </c>
      <c r="U16" s="516">
        <f t="shared" ref="U16:U18" si="20">L16*P16</f>
        <v>1584</v>
      </c>
      <c r="X16" s="217">
        <f>_xlfn.CEILING.MATH(SUM('Ventilconvettori(NO PLOT)'!I16)*860/5,10)</f>
        <v>1010</v>
      </c>
    </row>
    <row r="17" spans="1:24">
      <c r="A17" s="219" t="str">
        <f>'Design Criteria'!A35</f>
        <v>AH-107-1 + FC-107-01 (2)</v>
      </c>
      <c r="B17" s="219" t="str">
        <f>'Design Criteria'!C35</f>
        <v>B002</v>
      </c>
      <c r="C17" s="219" t="str">
        <f>'Design Criteria'!D35</f>
        <v>CHECK ROOM/AIRLOCK</v>
      </c>
      <c r="D17" s="539" t="s">
        <v>514</v>
      </c>
      <c r="E17" s="221">
        <f>'Design Criteria'!AB35/1000</f>
        <v>0</v>
      </c>
      <c r="F17" s="222"/>
      <c r="G17" s="383"/>
      <c r="H17" s="223">
        <f>('Design Criteria'!AA35)/1000</f>
        <v>1.36</v>
      </c>
      <c r="I17" s="223">
        <f>('Design Criteria'!Y35)/1000+H17</f>
        <v>1.4350000000000001</v>
      </c>
      <c r="J17" s="224">
        <v>1.8</v>
      </c>
      <c r="K17" s="224">
        <v>2.52</v>
      </c>
      <c r="L17" s="383">
        <v>396</v>
      </c>
      <c r="M17" s="222" t="s">
        <v>513</v>
      </c>
      <c r="N17" s="222">
        <f t="shared" ref="N17:N18" si="21">(55+2500)/1000</f>
        <v>2.5550000000000002</v>
      </c>
      <c r="O17" s="228">
        <f t="shared" ref="O17:O18" si="22">_xlfn.CEILING.MATH(MAX(H17/J17),1)</f>
        <v>1</v>
      </c>
      <c r="P17" s="222">
        <v>1</v>
      </c>
      <c r="Q17" s="226">
        <f t="shared" si="17"/>
        <v>2.5550000000000002</v>
      </c>
      <c r="R17" s="227">
        <f t="shared" si="18"/>
        <v>0</v>
      </c>
      <c r="S17" s="516">
        <f>G17*P17</f>
        <v>0</v>
      </c>
      <c r="T17" s="227">
        <f t="shared" si="19"/>
        <v>2.52</v>
      </c>
      <c r="U17" s="516">
        <f t="shared" si="20"/>
        <v>396</v>
      </c>
      <c r="X17" s="217">
        <f>_xlfn.CEILING.MATH(SUM('Ventilconvettori(NO PLOT)'!I17)*860/5,5)</f>
        <v>250</v>
      </c>
    </row>
    <row r="18" spans="1:24">
      <c r="A18" s="219" t="str">
        <f>'Design Criteria'!A36</f>
        <v>AH-107-1 + FC-107-01 (2)</v>
      </c>
      <c r="B18" s="219" t="str">
        <f>'Design Criteria'!C36</f>
        <v>B003</v>
      </c>
      <c r="C18" s="219" t="str">
        <f>'Design Criteria'!D36</f>
        <v>RECEIVING</v>
      </c>
      <c r="D18" s="539" t="s">
        <v>514</v>
      </c>
      <c r="E18" s="221">
        <f>'Design Criteria'!AB36/1000</f>
        <v>0.28957499999999997</v>
      </c>
      <c r="F18" s="222"/>
      <c r="G18" s="383"/>
      <c r="H18" s="223">
        <f>('Design Criteria'!AA36)/1000</f>
        <v>0.46182500000000004</v>
      </c>
      <c r="I18" s="223">
        <f>('Design Criteria'!Y36)/1000+H18</f>
        <v>0.46182500000000004</v>
      </c>
      <c r="J18" s="224">
        <v>1.8</v>
      </c>
      <c r="K18" s="224">
        <v>2.52</v>
      </c>
      <c r="L18" s="383">
        <v>396</v>
      </c>
      <c r="M18" s="222" t="s">
        <v>513</v>
      </c>
      <c r="N18" s="222">
        <f t="shared" si="21"/>
        <v>2.5550000000000002</v>
      </c>
      <c r="O18" s="228">
        <f t="shared" si="22"/>
        <v>1</v>
      </c>
      <c r="P18" s="222">
        <v>1</v>
      </c>
      <c r="Q18" s="226">
        <f t="shared" si="17"/>
        <v>2.5550000000000002</v>
      </c>
      <c r="R18" s="227">
        <f t="shared" si="18"/>
        <v>0</v>
      </c>
      <c r="S18" s="516">
        <f>G18*P18</f>
        <v>0</v>
      </c>
      <c r="T18" s="227">
        <f t="shared" si="19"/>
        <v>2.52</v>
      </c>
      <c r="U18" s="516">
        <f t="shared" si="20"/>
        <v>396</v>
      </c>
      <c r="X18" s="217">
        <f>_xlfn.CEILING.MATH(SUM('Ventilconvettori(NO PLOT)'!I18)*860/5,5)</f>
        <v>80</v>
      </c>
    </row>
    <row r="19" spans="1:24">
      <c r="A19" s="219"/>
      <c r="B19" s="219"/>
      <c r="C19" s="219"/>
      <c r="D19" s="539"/>
      <c r="E19" s="221"/>
      <c r="F19" s="222"/>
      <c r="G19" s="383"/>
      <c r="H19" s="223"/>
      <c r="I19" s="223"/>
      <c r="J19" s="224"/>
      <c r="K19" s="224"/>
      <c r="L19" s="383"/>
      <c r="M19" s="222"/>
      <c r="N19" s="222"/>
      <c r="O19" s="225"/>
      <c r="P19" s="222"/>
      <c r="Q19" s="226"/>
      <c r="R19" s="227"/>
      <c r="S19" s="227"/>
      <c r="T19" s="228"/>
      <c r="U19" s="228"/>
    </row>
    <row r="20" spans="1:24">
      <c r="A20" s="219" t="str">
        <f>'Design Criteria'!A38</f>
        <v>FC-102-01 (3)</v>
      </c>
      <c r="B20" s="219" t="str">
        <f>'Design Criteria'!C38</f>
        <v>E102</v>
      </c>
      <c r="C20" s="219" t="str">
        <f>'Design Criteria'!D38</f>
        <v>ELECTRIC ROOM</v>
      </c>
      <c r="D20" s="539" t="s">
        <v>511</v>
      </c>
      <c r="E20" s="221">
        <f>'Design Criteria'!AB38/1000</f>
        <v>1.2028500000000002</v>
      </c>
      <c r="F20" s="222">
        <v>6.46</v>
      </c>
      <c r="G20" s="383">
        <f>551</f>
        <v>551</v>
      </c>
      <c r="H20" s="223">
        <f>('Design Criteria'!AA38)/1000</f>
        <v>7.4783500000000007</v>
      </c>
      <c r="I20" s="223">
        <f>('Design Criteria'!Y38)/1000+H20</f>
        <v>7.4783500000000007</v>
      </c>
      <c r="J20" s="224">
        <v>4.6399999999999997</v>
      </c>
      <c r="K20" s="224">
        <v>6.19</v>
      </c>
      <c r="L20" s="383">
        <v>1068</v>
      </c>
      <c r="M20" s="222">
        <v>4</v>
      </c>
      <c r="N20" s="222">
        <f>135/1000</f>
        <v>0.13500000000000001</v>
      </c>
      <c r="O20" s="228">
        <f>_xlfn.CEILING.MATH(MAX(H20/J20,E20/F20),1)</f>
        <v>2</v>
      </c>
      <c r="P20" s="222">
        <v>2</v>
      </c>
      <c r="Q20" s="226">
        <f t="shared" ref="Q20" si="23">N20*P20</f>
        <v>0.27</v>
      </c>
      <c r="R20" s="227">
        <f t="shared" ref="R20" si="24">F20*P20</f>
        <v>12.92</v>
      </c>
      <c r="S20" s="516">
        <f t="shared" si="3"/>
        <v>1102</v>
      </c>
      <c r="T20" s="227">
        <f t="shared" ref="T20" si="25">K20*P20</f>
        <v>12.38</v>
      </c>
      <c r="U20" s="516">
        <f>L20*P20</f>
        <v>2136</v>
      </c>
      <c r="W20" s="217">
        <f>_xlfn.CEILING.MATH(SUM('Ventilconvettori(NO PLOT)'!E20)*860/10,10)</f>
        <v>110</v>
      </c>
      <c r="X20" s="217">
        <f>_xlfn.CEILING.MATH(SUM('Ventilconvettori(NO PLOT)'!I20)*860/5,10)</f>
        <v>1290</v>
      </c>
    </row>
    <row r="21" spans="1:24">
      <c r="A21" s="219"/>
      <c r="B21" s="219"/>
      <c r="C21" s="219"/>
      <c r="D21" s="539"/>
      <c r="E21" s="221"/>
      <c r="F21" s="222"/>
      <c r="G21" s="222"/>
      <c r="H21" s="223"/>
      <c r="I21" s="223"/>
      <c r="J21" s="224"/>
      <c r="K21" s="224"/>
      <c r="L21" s="224"/>
      <c r="M21" s="222"/>
      <c r="N21" s="222"/>
      <c r="O21" s="225"/>
      <c r="P21" s="222"/>
      <c r="Q21" s="226"/>
      <c r="R21" s="227"/>
      <c r="S21" s="227"/>
      <c r="T21" s="228"/>
      <c r="U21" s="228"/>
    </row>
    <row r="22" spans="1:24">
      <c r="A22" s="781"/>
      <c r="B22" s="781"/>
      <c r="C22" s="781"/>
      <c r="D22" s="230"/>
      <c r="E22" s="230">
        <f>SUM(E7:E21)</f>
        <v>7.8449039999999997</v>
      </c>
      <c r="F22" s="222"/>
      <c r="G22" s="222"/>
      <c r="H22" s="230">
        <f>SUM(H7:H21)</f>
        <v>42.203749999999999</v>
      </c>
      <c r="I22" s="230">
        <f>SUM(I7:I21)</f>
        <v>43.628750000000004</v>
      </c>
      <c r="J22" s="231"/>
      <c r="K22" s="231"/>
      <c r="L22" s="231"/>
      <c r="M22" s="229"/>
      <c r="N22" s="229"/>
      <c r="O22" s="232">
        <f t="shared" ref="O22:U22" si="26">SUM(O7:O21)</f>
        <v>21</v>
      </c>
      <c r="P22" s="232">
        <f t="shared" si="26"/>
        <v>21</v>
      </c>
      <c r="Q22" s="230">
        <f t="shared" si="26"/>
        <v>16.536000000000001</v>
      </c>
      <c r="R22" s="232">
        <f t="shared" si="26"/>
        <v>63.580000000000005</v>
      </c>
      <c r="S22" s="232">
        <f t="shared" si="26"/>
        <v>5472</v>
      </c>
      <c r="T22" s="232">
        <f t="shared" si="26"/>
        <v>74.860000000000014</v>
      </c>
      <c r="U22" s="232">
        <f t="shared" si="26"/>
        <v>12691</v>
      </c>
    </row>
    <row r="23" spans="1:24">
      <c r="R23" s="233"/>
      <c r="S23" s="233"/>
      <c r="T23" s="233"/>
      <c r="U23" s="233"/>
    </row>
    <row r="24" spans="1:24">
      <c r="O24" s="234"/>
      <c r="P24" s="234"/>
    </row>
    <row r="25" spans="1:24">
      <c r="O25" s="234"/>
      <c r="P25" s="234"/>
    </row>
  </sheetData>
  <mergeCells count="16">
    <mergeCell ref="R2:U5"/>
    <mergeCell ref="I2:I5"/>
    <mergeCell ref="A2:A6"/>
    <mergeCell ref="A22:C22"/>
    <mergeCell ref="F2:G5"/>
    <mergeCell ref="J2:L5"/>
    <mergeCell ref="B2:B6"/>
    <mergeCell ref="C2:C6"/>
    <mergeCell ref="E2:E5"/>
    <mergeCell ref="H2:H5"/>
    <mergeCell ref="M2:M6"/>
    <mergeCell ref="N2:N5"/>
    <mergeCell ref="O2:O6"/>
    <mergeCell ref="P2:P6"/>
    <mergeCell ref="Q2:Q5"/>
    <mergeCell ref="D2:D6"/>
  </mergeCells>
  <conditionalFormatting sqref="D8 D15 D19 D21">
    <cfRule type="cellIs" dxfId="6" priority="44" operator="greaterThan">
      <formula>F8</formula>
    </cfRule>
  </conditionalFormatting>
  <conditionalFormatting sqref="E7:E21">
    <cfRule type="cellIs" dxfId="5" priority="2" operator="greaterThan">
      <formula>H7</formula>
    </cfRule>
  </conditionalFormatting>
  <conditionalFormatting sqref="H7:I21">
    <cfRule type="cellIs" dxfId="4" priority="1" operator="greaterThan">
      <formula>E7</formula>
    </cfRule>
  </conditionalFormatting>
  <pageMargins left="0.7" right="0.7" top="0.75" bottom="0.75" header="0.3" footer="0.3"/>
  <pageSetup paperSize="9" scale="51" fitToHeight="0" orientation="landscape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Q29"/>
  <sheetViews>
    <sheetView zoomScaleNormal="100" workbookViewId="0">
      <pane xSplit="2" ySplit="6" topLeftCell="C7" activePane="bottomRight" state="frozenSplit"/>
      <selection pane="topRight" activeCell="C1" sqref="C1"/>
      <selection pane="bottomLeft" activeCell="A6" sqref="A6"/>
      <selection pane="bottomRight" activeCell="J9" sqref="J9"/>
    </sheetView>
  </sheetViews>
  <sheetFormatPr defaultRowHeight="13.2"/>
  <cols>
    <col min="1" max="1" width="9.5546875" bestFit="1" customWidth="1"/>
    <col min="2" max="2" width="35.6640625" bestFit="1" customWidth="1"/>
    <col min="3" max="3" width="12.6640625" customWidth="1"/>
    <col min="4" max="4" width="30.6640625" customWidth="1"/>
    <col min="5" max="5" width="7.88671875" customWidth="1"/>
    <col min="6" max="6" width="7.88671875" hidden="1" customWidth="1"/>
    <col min="7" max="7" width="7.88671875" customWidth="1"/>
    <col min="8" max="8" width="17.5546875" customWidth="1"/>
    <col min="9" max="9" width="27.21875" customWidth="1"/>
    <col min="10" max="10" width="7.88671875" customWidth="1"/>
    <col min="11" max="11" width="7.88671875" hidden="1" customWidth="1"/>
    <col min="13" max="13" width="17.5546875" customWidth="1"/>
    <col min="14" max="14" width="27" customWidth="1"/>
    <col min="15" max="15" width="7.88671875" customWidth="1"/>
    <col min="16" max="16" width="7.88671875" hidden="1" customWidth="1"/>
  </cols>
  <sheetData>
    <row r="1" spans="1:17">
      <c r="A1" s="801" t="s">
        <v>237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  <c r="L1" s="801"/>
      <c r="M1" s="22"/>
      <c r="N1" s="22"/>
      <c r="O1" s="22"/>
      <c r="P1" s="22"/>
      <c r="Q1" s="22"/>
    </row>
    <row r="2" spans="1:17" ht="13.2" customHeight="1">
      <c r="A2" s="745" t="s">
        <v>29</v>
      </c>
      <c r="B2" s="745" t="s">
        <v>8</v>
      </c>
      <c r="C2" s="799" t="s">
        <v>473</v>
      </c>
      <c r="D2" s="776" t="s">
        <v>182</v>
      </c>
      <c r="E2" s="793" t="s">
        <v>168</v>
      </c>
      <c r="F2" s="794"/>
      <c r="G2" s="795"/>
      <c r="H2" s="799" t="s">
        <v>298</v>
      </c>
      <c r="I2" s="776" t="s">
        <v>184</v>
      </c>
      <c r="J2" s="793" t="s">
        <v>168</v>
      </c>
      <c r="K2" s="794"/>
      <c r="L2" s="795"/>
      <c r="M2" s="799" t="s">
        <v>299</v>
      </c>
      <c r="N2" s="776" t="s">
        <v>184</v>
      </c>
      <c r="O2" s="793" t="s">
        <v>168</v>
      </c>
      <c r="P2" s="794"/>
      <c r="Q2" s="795"/>
    </row>
    <row r="3" spans="1:17">
      <c r="A3" s="733"/>
      <c r="B3" s="733"/>
      <c r="C3" s="800"/>
      <c r="D3" s="747"/>
      <c r="E3" s="793"/>
      <c r="F3" s="794"/>
      <c r="G3" s="795"/>
      <c r="H3" s="800"/>
      <c r="I3" s="747"/>
      <c r="J3" s="793"/>
      <c r="K3" s="794"/>
      <c r="L3" s="795"/>
      <c r="M3" s="800"/>
      <c r="N3" s="747"/>
      <c r="O3" s="793"/>
      <c r="P3" s="794"/>
      <c r="Q3" s="795"/>
    </row>
    <row r="4" spans="1:17">
      <c r="A4" s="733"/>
      <c r="B4" s="733"/>
      <c r="C4" s="800"/>
      <c r="D4" s="747"/>
      <c r="E4" s="793"/>
      <c r="F4" s="794"/>
      <c r="G4" s="795"/>
      <c r="H4" s="800"/>
      <c r="I4" s="747"/>
      <c r="J4" s="793"/>
      <c r="K4" s="794"/>
      <c r="L4" s="795"/>
      <c r="M4" s="800"/>
      <c r="N4" s="747"/>
      <c r="O4" s="793"/>
      <c r="P4" s="794"/>
      <c r="Q4" s="795"/>
    </row>
    <row r="5" spans="1:17">
      <c r="A5" s="733"/>
      <c r="B5" s="733"/>
      <c r="C5" s="735"/>
      <c r="D5" s="747"/>
      <c r="E5" s="796"/>
      <c r="F5" s="797"/>
      <c r="G5" s="798"/>
      <c r="H5" s="735"/>
      <c r="I5" s="747"/>
      <c r="J5" s="796"/>
      <c r="K5" s="797"/>
      <c r="L5" s="798"/>
      <c r="M5" s="735"/>
      <c r="N5" s="747"/>
      <c r="O5" s="796"/>
      <c r="P5" s="797"/>
      <c r="Q5" s="798"/>
    </row>
    <row r="6" spans="1:17">
      <c r="A6" s="733"/>
      <c r="B6" s="733"/>
      <c r="C6" s="66" t="s">
        <v>42</v>
      </c>
      <c r="D6" s="747"/>
      <c r="E6" s="163" t="s">
        <v>185</v>
      </c>
      <c r="F6" s="163" t="s">
        <v>186</v>
      </c>
      <c r="G6" s="163" t="s">
        <v>187</v>
      </c>
      <c r="H6" s="66" t="s">
        <v>42</v>
      </c>
      <c r="I6" s="747"/>
      <c r="J6" s="163" t="s">
        <v>185</v>
      </c>
      <c r="K6" s="163" t="s">
        <v>186</v>
      </c>
      <c r="L6" s="163" t="s">
        <v>187</v>
      </c>
      <c r="M6" s="66" t="s">
        <v>42</v>
      </c>
      <c r="N6" s="747"/>
      <c r="O6" s="163" t="s">
        <v>185</v>
      </c>
      <c r="P6" s="163" t="s">
        <v>186</v>
      </c>
      <c r="Q6" s="163" t="s">
        <v>187</v>
      </c>
    </row>
    <row r="7" spans="1:17" ht="18" customHeight="1">
      <c r="A7" s="311" t="str">
        <f>'Design Criteria'!C8</f>
        <v>E001</v>
      </c>
      <c r="B7" s="121" t="str">
        <f>'Design Criteria'!D8</f>
        <v>MATERIAL RECEIVING LINK CORRIDOR</v>
      </c>
      <c r="C7" s="164">
        <f>PortateAria!T7</f>
        <v>6470</v>
      </c>
      <c r="D7" s="131" t="s">
        <v>311</v>
      </c>
      <c r="E7" s="314">
        <f>_xlfn.CEILING.MATH(C7/450,1)</f>
        <v>15</v>
      </c>
      <c r="F7" s="122"/>
      <c r="G7" s="164">
        <f t="shared" ref="G7" si="0">E7+F7</f>
        <v>15</v>
      </c>
      <c r="H7" s="164">
        <f>PortateAria!AD7</f>
        <v>6470</v>
      </c>
      <c r="I7" s="131" t="s">
        <v>311</v>
      </c>
      <c r="J7" s="314">
        <f>_xlfn.CEILING.MATH(H7/450,1)</f>
        <v>15</v>
      </c>
      <c r="K7" s="164">
        <f>F7</f>
        <v>0</v>
      </c>
      <c r="L7" s="164">
        <f t="shared" ref="L7" si="1">J7+K7</f>
        <v>15</v>
      </c>
      <c r="M7" s="164">
        <f>PortateAria!X7</f>
        <v>0</v>
      </c>
      <c r="N7" s="131" t="s">
        <v>276</v>
      </c>
      <c r="O7" s="122"/>
      <c r="P7" s="164">
        <f>K7</f>
        <v>0</v>
      </c>
      <c r="Q7" s="164">
        <f t="shared" ref="Q7" si="2">O7+P7</f>
        <v>0</v>
      </c>
    </row>
    <row r="8" spans="1:17" ht="18" customHeight="1">
      <c r="A8" s="311"/>
      <c r="B8" s="121"/>
      <c r="C8" s="164"/>
      <c r="D8" s="131"/>
      <c r="E8" s="122"/>
      <c r="F8" s="122"/>
      <c r="G8" s="164"/>
      <c r="H8" s="164"/>
      <c r="I8" s="131"/>
      <c r="J8" s="122"/>
      <c r="K8" s="164"/>
      <c r="L8" s="164"/>
      <c r="M8" s="164"/>
      <c r="N8" s="131"/>
      <c r="O8" s="122"/>
      <c r="P8" s="164"/>
      <c r="Q8" s="164"/>
    </row>
    <row r="9" spans="1:17" ht="18" customHeight="1">
      <c r="A9" s="311" t="str">
        <f>'Design Criteria'!C10</f>
        <v>A001</v>
      </c>
      <c r="B9" s="121" t="str">
        <f>'Design Criteria'!D10</f>
        <v>ENTRANCE</v>
      </c>
      <c r="C9" s="164">
        <f>PortateAria!T22</f>
        <v>560</v>
      </c>
      <c r="D9" s="131" t="s">
        <v>474</v>
      </c>
      <c r="E9" s="122">
        <f>_xlfn.CEILING.MATH(C9/400,1)</f>
        <v>2</v>
      </c>
      <c r="F9" s="122"/>
      <c r="G9" s="164">
        <f t="shared" ref="G9:G17" si="3">E9+F9</f>
        <v>2</v>
      </c>
      <c r="H9" s="164">
        <f>PortateAria!AD22</f>
        <v>560</v>
      </c>
      <c r="I9" s="131" t="s">
        <v>311</v>
      </c>
      <c r="J9" s="122">
        <f t="shared" ref="J9" si="4">_xlfn.CEILING.MATH(H9/450,1)</f>
        <v>2</v>
      </c>
      <c r="K9" s="164">
        <f t="shared" ref="K9:K17" si="5">F9</f>
        <v>0</v>
      </c>
      <c r="L9" s="164">
        <f t="shared" ref="L9:L17" si="6">J9+K9</f>
        <v>2</v>
      </c>
      <c r="M9" s="164">
        <f>PortateAria!X22</f>
        <v>0</v>
      </c>
      <c r="N9" s="131" t="s">
        <v>276</v>
      </c>
      <c r="O9" s="122"/>
      <c r="P9" s="164">
        <f t="shared" ref="P9:P17" si="7">K9</f>
        <v>0</v>
      </c>
      <c r="Q9" s="164">
        <f t="shared" ref="Q9:Q17" si="8">O9+P9</f>
        <v>0</v>
      </c>
    </row>
    <row r="10" spans="1:17" ht="18" customHeight="1">
      <c r="A10" s="311" t="str">
        <f>'Design Criteria'!C11</f>
        <v>A002</v>
      </c>
      <c r="B10" s="121" t="str">
        <f>'Design Criteria'!D11</f>
        <v>HANDLING AREA</v>
      </c>
      <c r="C10" s="164">
        <f>PortateAria!T23</f>
        <v>8890</v>
      </c>
      <c r="D10" s="131" t="s">
        <v>474</v>
      </c>
      <c r="E10" s="314">
        <f>_xlfn.CEILING.MATH(C10/380,1)</f>
        <v>24</v>
      </c>
      <c r="F10" s="122"/>
      <c r="G10" s="164">
        <f t="shared" si="3"/>
        <v>24</v>
      </c>
      <c r="H10" s="164">
        <f>PortateAria!AD23</f>
        <v>8890</v>
      </c>
      <c r="I10" s="131" t="s">
        <v>475</v>
      </c>
      <c r="J10" s="122">
        <f>_xlfn.CEILING.MATH(H10/810,1)</f>
        <v>11</v>
      </c>
      <c r="K10" s="164">
        <f t="shared" si="5"/>
        <v>0</v>
      </c>
      <c r="L10" s="164">
        <f t="shared" si="6"/>
        <v>11</v>
      </c>
      <c r="M10" s="164">
        <f>PortateAria!X23</f>
        <v>0</v>
      </c>
      <c r="N10" s="131" t="s">
        <v>276</v>
      </c>
      <c r="O10" s="122"/>
      <c r="P10" s="164">
        <f t="shared" si="7"/>
        <v>0</v>
      </c>
      <c r="Q10" s="164">
        <f t="shared" si="8"/>
        <v>0</v>
      </c>
    </row>
    <row r="11" spans="1:17" ht="18" customHeight="1">
      <c r="A11" s="311" t="str">
        <f>'Design Criteria'!C12</f>
        <v>A101</v>
      </c>
      <c r="B11" s="121" t="str">
        <f>'Design Criteria'!D12</f>
        <v>FILTER AGAINST FIRE</v>
      </c>
      <c r="C11" s="164">
        <f>PortateAria!T24</f>
        <v>380</v>
      </c>
      <c r="D11" s="131" t="s">
        <v>311</v>
      </c>
      <c r="E11" s="122">
        <f t="shared" ref="E11:E16" si="9">_xlfn.CEILING.MATH(C11/450,1)</f>
        <v>1</v>
      </c>
      <c r="F11" s="122"/>
      <c r="G11" s="164">
        <f t="shared" si="3"/>
        <v>1</v>
      </c>
      <c r="H11" s="164">
        <f>PortateAria!AD24</f>
        <v>380</v>
      </c>
      <c r="I11" s="131" t="s">
        <v>311</v>
      </c>
      <c r="J11" s="122">
        <f t="shared" ref="J11:J14" si="10">_xlfn.CEILING.MATH(H11/450,1)</f>
        <v>1</v>
      </c>
      <c r="K11" s="164">
        <f t="shared" si="5"/>
        <v>0</v>
      </c>
      <c r="L11" s="164">
        <f t="shared" si="6"/>
        <v>1</v>
      </c>
      <c r="M11" s="164">
        <f>PortateAria!X24</f>
        <v>0</v>
      </c>
      <c r="N11" s="131" t="s">
        <v>276</v>
      </c>
      <c r="O11" s="122"/>
      <c r="P11" s="164">
        <f t="shared" si="7"/>
        <v>0</v>
      </c>
      <c r="Q11" s="164">
        <f t="shared" si="8"/>
        <v>0</v>
      </c>
    </row>
    <row r="12" spans="1:17" s="166" customFormat="1" ht="18" customHeight="1">
      <c r="A12" s="311" t="str">
        <f>'Design Criteria'!C13</f>
        <v>A102</v>
      </c>
      <c r="B12" s="121" t="str">
        <f>'Design Criteria'!D13</f>
        <v>AIRLOCK VT</v>
      </c>
      <c r="C12" s="164">
        <f>PortateAria!T25</f>
        <v>260</v>
      </c>
      <c r="D12" s="131" t="s">
        <v>311</v>
      </c>
      <c r="E12" s="122">
        <f t="shared" si="9"/>
        <v>1</v>
      </c>
      <c r="F12" s="122"/>
      <c r="G12" s="164">
        <f t="shared" si="3"/>
        <v>1</v>
      </c>
      <c r="H12" s="164">
        <f>PortateAria!AD25</f>
        <v>260</v>
      </c>
      <c r="I12" s="131" t="s">
        <v>311</v>
      </c>
      <c r="J12" s="122">
        <f t="shared" si="10"/>
        <v>1</v>
      </c>
      <c r="K12" s="164">
        <f t="shared" si="5"/>
        <v>0</v>
      </c>
      <c r="L12" s="164">
        <f t="shared" si="6"/>
        <v>1</v>
      </c>
      <c r="M12" s="164">
        <f>PortateAria!X25</f>
        <v>0</v>
      </c>
      <c r="N12" s="131" t="s">
        <v>276</v>
      </c>
      <c r="O12" s="122"/>
      <c r="P12" s="164">
        <f t="shared" si="7"/>
        <v>0</v>
      </c>
      <c r="Q12" s="164">
        <f t="shared" si="8"/>
        <v>0</v>
      </c>
    </row>
    <row r="13" spans="1:17" ht="18" customHeight="1">
      <c r="A13" s="311" t="str">
        <f>'Design Criteria'!C14</f>
        <v>A103</v>
      </c>
      <c r="B13" s="121" t="str">
        <f>'Design Criteria'!D14</f>
        <v>CORRIDOR</v>
      </c>
      <c r="C13" s="164">
        <f>PortateAria!T26</f>
        <v>950</v>
      </c>
      <c r="D13" s="131" t="s">
        <v>311</v>
      </c>
      <c r="E13" s="312">
        <f>_xlfn.CEILING.MATH(C13/500,1)</f>
        <v>2</v>
      </c>
      <c r="F13" s="122"/>
      <c r="G13" s="164">
        <f t="shared" si="3"/>
        <v>2</v>
      </c>
      <c r="H13" s="164">
        <f>PortateAria!AD26</f>
        <v>810</v>
      </c>
      <c r="I13" s="131" t="s">
        <v>311</v>
      </c>
      <c r="J13" s="122">
        <f t="shared" si="10"/>
        <v>2</v>
      </c>
      <c r="K13" s="164">
        <f t="shared" si="5"/>
        <v>0</v>
      </c>
      <c r="L13" s="164">
        <f t="shared" si="6"/>
        <v>2</v>
      </c>
      <c r="M13" s="164">
        <f>PortateAria!X26</f>
        <v>0</v>
      </c>
      <c r="N13" s="131" t="s">
        <v>276</v>
      </c>
      <c r="O13" s="122"/>
      <c r="P13" s="164">
        <f t="shared" si="7"/>
        <v>0</v>
      </c>
      <c r="Q13" s="164">
        <f t="shared" si="8"/>
        <v>0</v>
      </c>
    </row>
    <row r="14" spans="1:17" ht="18" customHeight="1">
      <c r="A14" s="311" t="str">
        <f>'Design Criteria'!C15</f>
        <v>0428</v>
      </c>
      <c r="B14" s="121" t="str">
        <f>'Design Criteria'!D15</f>
        <v>PREDISPOSITION TO DS</v>
      </c>
      <c r="C14" s="164">
        <f>PortateAria!T27</f>
        <v>520</v>
      </c>
      <c r="D14" s="131" t="s">
        <v>311</v>
      </c>
      <c r="E14" s="122">
        <f t="shared" si="9"/>
        <v>2</v>
      </c>
      <c r="F14" s="122"/>
      <c r="G14" s="164">
        <f t="shared" si="3"/>
        <v>2</v>
      </c>
      <c r="H14" s="164">
        <f>PortateAria!AD27</f>
        <v>520</v>
      </c>
      <c r="I14" s="131" t="s">
        <v>311</v>
      </c>
      <c r="J14" s="122">
        <f t="shared" si="10"/>
        <v>2</v>
      </c>
      <c r="K14" s="164">
        <f t="shared" si="5"/>
        <v>0</v>
      </c>
      <c r="L14" s="164">
        <f t="shared" si="6"/>
        <v>2</v>
      </c>
      <c r="M14" s="164">
        <f>PortateAria!X27</f>
        <v>0</v>
      </c>
      <c r="N14" s="131" t="s">
        <v>276</v>
      </c>
      <c r="O14" s="122"/>
      <c r="P14" s="164">
        <f t="shared" si="7"/>
        <v>0</v>
      </c>
      <c r="Q14" s="164">
        <f t="shared" si="8"/>
        <v>0</v>
      </c>
    </row>
    <row r="15" spans="1:17" ht="18" customHeight="1">
      <c r="A15" s="311"/>
      <c r="B15" s="121"/>
      <c r="C15" s="164"/>
      <c r="D15" s="131"/>
      <c r="E15" s="312"/>
      <c r="F15" s="122"/>
      <c r="G15" s="164"/>
      <c r="H15" s="164"/>
      <c r="I15" s="131"/>
      <c r="J15" s="122"/>
      <c r="K15" s="164"/>
      <c r="L15" s="164"/>
      <c r="M15" s="164"/>
      <c r="N15" s="131"/>
      <c r="O15" s="122"/>
      <c r="P15" s="164"/>
      <c r="Q15" s="164"/>
    </row>
    <row r="16" spans="1:17" ht="18" customHeight="1">
      <c r="A16" s="311" t="str">
        <f>'Design Criteria'!C20</f>
        <v>A104</v>
      </c>
      <c r="B16" s="121" t="str">
        <f>'Design Criteria'!D20</f>
        <v>MALE CHANGING ROOM</v>
      </c>
      <c r="C16" s="164">
        <f>PortateAria!T45</f>
        <v>350</v>
      </c>
      <c r="D16" s="131" t="s">
        <v>311</v>
      </c>
      <c r="E16" s="122">
        <f t="shared" si="9"/>
        <v>1</v>
      </c>
      <c r="F16" s="122"/>
      <c r="G16" s="164">
        <f t="shared" si="3"/>
        <v>1</v>
      </c>
      <c r="H16" s="164">
        <f>PortateAria!AD45</f>
        <v>0</v>
      </c>
      <c r="I16" s="131" t="s">
        <v>276</v>
      </c>
      <c r="J16" s="312">
        <f>_xlfn.CEILING.MATH(H16/600,1)</f>
        <v>0</v>
      </c>
      <c r="K16" s="164">
        <f t="shared" si="5"/>
        <v>0</v>
      </c>
      <c r="L16" s="164">
        <f t="shared" si="6"/>
        <v>0</v>
      </c>
      <c r="M16" s="164">
        <f>PortateAria!X45</f>
        <v>440</v>
      </c>
      <c r="N16" s="131" t="s">
        <v>311</v>
      </c>
      <c r="O16" s="122">
        <f>_xlfn.CEILING.MATH(M16/500,1)</f>
        <v>1</v>
      </c>
      <c r="P16" s="164">
        <f t="shared" si="7"/>
        <v>0</v>
      </c>
      <c r="Q16" s="164">
        <f t="shared" si="8"/>
        <v>1</v>
      </c>
    </row>
    <row r="17" spans="1:17" ht="18" customHeight="1">
      <c r="A17" s="311" t="str">
        <f>'Design Criteria'!C21</f>
        <v>A105</v>
      </c>
      <c r="B17" s="121" t="str">
        <f>'Design Criteria'!D21</f>
        <v>MALE WC</v>
      </c>
      <c r="C17" s="164">
        <f>PortateAria!T46</f>
        <v>500</v>
      </c>
      <c r="D17" s="131" t="s">
        <v>311</v>
      </c>
      <c r="E17" s="312">
        <f t="shared" ref="E17:E24" si="11">_xlfn.CEILING.MATH(C17/500,1)</f>
        <v>1</v>
      </c>
      <c r="F17" s="122"/>
      <c r="G17" s="164">
        <f t="shared" si="3"/>
        <v>1</v>
      </c>
      <c r="H17" s="164">
        <f>PortateAria!AD46</f>
        <v>0</v>
      </c>
      <c r="I17" s="131" t="s">
        <v>276</v>
      </c>
      <c r="J17" s="122">
        <f t="shared" ref="J17" si="12">_xlfn.CEILING.MATH(H17/500,1)</f>
        <v>0</v>
      </c>
      <c r="K17" s="164">
        <f t="shared" si="5"/>
        <v>0</v>
      </c>
      <c r="L17" s="164">
        <f t="shared" si="6"/>
        <v>0</v>
      </c>
      <c r="M17" s="164">
        <f>PortateAria!X46</f>
        <v>800</v>
      </c>
      <c r="N17" s="131" t="s">
        <v>301</v>
      </c>
      <c r="O17" s="312">
        <f>_xlfn.CEILING.MATH(M17/110,1)</f>
        <v>8</v>
      </c>
      <c r="P17" s="164">
        <f t="shared" si="7"/>
        <v>0</v>
      </c>
      <c r="Q17" s="164">
        <f t="shared" si="8"/>
        <v>8</v>
      </c>
    </row>
    <row r="18" spans="1:17" ht="18" customHeight="1">
      <c r="A18" s="311" t="str">
        <f>'Design Criteria'!C22</f>
        <v>A106</v>
      </c>
      <c r="B18" s="121" t="str">
        <f>'Design Criteria'!D22</f>
        <v>FEMALE WC</v>
      </c>
      <c r="C18" s="164">
        <f>PortateAria!T47</f>
        <v>500</v>
      </c>
      <c r="D18" s="131" t="s">
        <v>311</v>
      </c>
      <c r="E18" s="312">
        <f t="shared" si="11"/>
        <v>1</v>
      </c>
      <c r="F18" s="122"/>
      <c r="G18" s="164">
        <f t="shared" ref="G18:G28" si="13">E18+F18</f>
        <v>1</v>
      </c>
      <c r="H18" s="164">
        <f>PortateAria!AD47</f>
        <v>0</v>
      </c>
      <c r="I18" s="131" t="s">
        <v>276</v>
      </c>
      <c r="J18" s="122">
        <f t="shared" ref="J18:J24" si="14">_xlfn.CEILING.MATH(H18/500,1)</f>
        <v>0</v>
      </c>
      <c r="K18" s="164">
        <f t="shared" ref="K18:K28" si="15">F18</f>
        <v>0</v>
      </c>
      <c r="L18" s="164">
        <f t="shared" ref="L18:L28" si="16">J18+K18</f>
        <v>0</v>
      </c>
      <c r="M18" s="164">
        <f>PortateAria!X47</f>
        <v>800</v>
      </c>
      <c r="N18" s="131" t="s">
        <v>301</v>
      </c>
      <c r="O18" s="312">
        <f>_xlfn.CEILING.MATH(M18/110,1)</f>
        <v>8</v>
      </c>
      <c r="P18" s="164">
        <f t="shared" ref="P18:P28" si="17">K18</f>
        <v>0</v>
      </c>
      <c r="Q18" s="164">
        <f t="shared" ref="Q18:Q28" si="18">O18+P18</f>
        <v>8</v>
      </c>
    </row>
    <row r="19" spans="1:17" ht="18" customHeight="1">
      <c r="A19" s="311" t="str">
        <f>'Design Criteria'!C23</f>
        <v>A107</v>
      </c>
      <c r="B19" s="121" t="str">
        <f>'Design Criteria'!D23</f>
        <v>FEMALE CHANGING ROOM</v>
      </c>
      <c r="C19" s="164">
        <f>PortateAria!T48</f>
        <v>500</v>
      </c>
      <c r="D19" s="131" t="s">
        <v>311</v>
      </c>
      <c r="E19" s="312">
        <f t="shared" si="11"/>
        <v>1</v>
      </c>
      <c r="F19" s="122"/>
      <c r="G19" s="164">
        <f t="shared" si="13"/>
        <v>1</v>
      </c>
      <c r="H19" s="164">
        <f>PortateAria!AD48</f>
        <v>0</v>
      </c>
      <c r="I19" s="131" t="s">
        <v>276</v>
      </c>
      <c r="J19" s="122">
        <f t="shared" si="14"/>
        <v>0</v>
      </c>
      <c r="K19" s="164">
        <f t="shared" si="15"/>
        <v>0</v>
      </c>
      <c r="L19" s="164">
        <f t="shared" si="16"/>
        <v>0</v>
      </c>
      <c r="M19" s="164">
        <f>PortateAria!X48</f>
        <v>630</v>
      </c>
      <c r="N19" s="131" t="s">
        <v>311</v>
      </c>
      <c r="O19" s="122">
        <f>_xlfn.CEILING.MATH(M19/500,1)</f>
        <v>2</v>
      </c>
      <c r="P19" s="164">
        <f t="shared" si="17"/>
        <v>0</v>
      </c>
      <c r="Q19" s="164">
        <f t="shared" si="18"/>
        <v>2</v>
      </c>
    </row>
    <row r="20" spans="1:17" ht="18" customHeight="1">
      <c r="A20" s="311" t="str">
        <f>'Design Criteria'!C24</f>
        <v>A110</v>
      </c>
      <c r="B20" s="121" t="str">
        <f>'Design Criteria'!D24</f>
        <v>SUPERVISOR ROOM</v>
      </c>
      <c r="C20" s="164">
        <f>PortateAria!T49</f>
        <v>250</v>
      </c>
      <c r="D20" s="131" t="s">
        <v>523</v>
      </c>
      <c r="E20" s="122">
        <f t="shared" ref="E20:E21" si="19">_xlfn.CEILING.MATH(C20/250,1)</f>
        <v>1</v>
      </c>
      <c r="F20" s="122"/>
      <c r="G20" s="164">
        <f t="shared" ref="G20:G21" si="20">E20+F20</f>
        <v>1</v>
      </c>
      <c r="H20" s="164">
        <f>PortateAria!AD49</f>
        <v>0</v>
      </c>
      <c r="I20" s="131" t="s">
        <v>276</v>
      </c>
      <c r="J20" s="122">
        <f t="shared" ref="J20:J21" si="21">_xlfn.CEILING.MATH(H20/500,1)</f>
        <v>0</v>
      </c>
      <c r="K20" s="164">
        <f t="shared" ref="K20:K21" si="22">F20</f>
        <v>0</v>
      </c>
      <c r="L20" s="164">
        <f t="shared" ref="L20:L21" si="23">J20+K20</f>
        <v>0</v>
      </c>
      <c r="M20" s="164">
        <f>PortateAria!X49</f>
        <v>250</v>
      </c>
      <c r="N20" s="131" t="s">
        <v>523</v>
      </c>
      <c r="O20" s="122">
        <f t="shared" ref="O20:O21" si="24">_xlfn.CEILING.MATH(M20/250,1)</f>
        <v>1</v>
      </c>
      <c r="P20" s="164">
        <f t="shared" ref="P20:P21" si="25">K20</f>
        <v>0</v>
      </c>
      <c r="Q20" s="164">
        <f t="shared" ref="Q20:Q21" si="26">O20+P20</f>
        <v>1</v>
      </c>
    </row>
    <row r="21" spans="1:17" ht="18" customHeight="1">
      <c r="A21" s="311" t="str">
        <f>'Design Criteria'!C25</f>
        <v>A109</v>
      </c>
      <c r="B21" s="121" t="str">
        <f>'Design Criteria'!D25</f>
        <v>UPS ROOM</v>
      </c>
      <c r="C21" s="164">
        <f>PortateAria!T50</f>
        <v>100</v>
      </c>
      <c r="D21" s="131" t="s">
        <v>523</v>
      </c>
      <c r="E21" s="122">
        <f t="shared" si="19"/>
        <v>1</v>
      </c>
      <c r="F21" s="122"/>
      <c r="G21" s="164">
        <f t="shared" si="20"/>
        <v>1</v>
      </c>
      <c r="H21" s="164">
        <f>PortateAria!AD50</f>
        <v>0</v>
      </c>
      <c r="I21" s="131" t="s">
        <v>276</v>
      </c>
      <c r="J21" s="122">
        <f t="shared" si="21"/>
        <v>0</v>
      </c>
      <c r="K21" s="164">
        <f t="shared" si="22"/>
        <v>0</v>
      </c>
      <c r="L21" s="164">
        <f t="shared" si="23"/>
        <v>0</v>
      </c>
      <c r="M21" s="164">
        <f>PortateAria!X50</f>
        <v>100</v>
      </c>
      <c r="N21" s="131" t="s">
        <v>523</v>
      </c>
      <c r="O21" s="122">
        <f t="shared" si="24"/>
        <v>1</v>
      </c>
      <c r="P21" s="164">
        <f t="shared" si="25"/>
        <v>0</v>
      </c>
      <c r="Q21" s="164">
        <f t="shared" si="26"/>
        <v>1</v>
      </c>
    </row>
    <row r="22" spans="1:17" ht="18" customHeight="1">
      <c r="A22" s="311"/>
      <c r="B22" s="121"/>
      <c r="C22" s="164"/>
      <c r="D22" s="131"/>
      <c r="E22" s="122"/>
      <c r="F22" s="122"/>
      <c r="G22" s="164"/>
      <c r="H22" s="164"/>
      <c r="I22" s="131"/>
      <c r="J22" s="122"/>
      <c r="K22" s="164"/>
      <c r="L22" s="164"/>
      <c r="M22" s="164"/>
      <c r="N22" s="131"/>
      <c r="O22" s="122"/>
      <c r="P22" s="164"/>
      <c r="Q22" s="164"/>
    </row>
    <row r="23" spans="1:17" ht="18" customHeight="1">
      <c r="A23" s="311" t="str">
        <f>'Design Criteria'!C27</f>
        <v>E002</v>
      </c>
      <c r="B23" s="121" t="str">
        <f>'Design Criteria'!D27</f>
        <v>LOGISTIC AIRLOCK OUT</v>
      </c>
      <c r="C23" s="164">
        <f>PortateAria!T65</f>
        <v>1000</v>
      </c>
      <c r="D23" s="131" t="s">
        <v>311</v>
      </c>
      <c r="E23" s="312">
        <f t="shared" si="11"/>
        <v>2</v>
      </c>
      <c r="F23" s="122"/>
      <c r="G23" s="164">
        <f t="shared" si="13"/>
        <v>2</v>
      </c>
      <c r="H23" s="164">
        <f>PortateAria!AD65</f>
        <v>400</v>
      </c>
      <c r="I23" s="131" t="s">
        <v>311</v>
      </c>
      <c r="J23" s="122">
        <f>_xlfn.CEILING.MATH(H23/500,1)</f>
        <v>1</v>
      </c>
      <c r="K23" s="164">
        <f t="shared" si="15"/>
        <v>0</v>
      </c>
      <c r="L23" s="164">
        <f t="shared" si="16"/>
        <v>1</v>
      </c>
      <c r="M23" s="164">
        <f>PortateAria!X65</f>
        <v>0</v>
      </c>
      <c r="N23" s="131" t="s">
        <v>276</v>
      </c>
      <c r="O23" s="122"/>
      <c r="P23" s="164">
        <f t="shared" si="17"/>
        <v>0</v>
      </c>
      <c r="Q23" s="164">
        <f t="shared" si="18"/>
        <v>0</v>
      </c>
    </row>
    <row r="24" spans="1:17" ht="18" customHeight="1">
      <c r="A24" s="311" t="str">
        <f>'Design Criteria'!C28</f>
        <v>E003</v>
      </c>
      <c r="B24" s="121" t="str">
        <f>'Design Criteria'!D28</f>
        <v>LOGISTIC AIRLOCK IN</v>
      </c>
      <c r="C24" s="164">
        <f>PortateAria!T66</f>
        <v>500</v>
      </c>
      <c r="D24" s="131" t="s">
        <v>311</v>
      </c>
      <c r="E24" s="312">
        <f t="shared" si="11"/>
        <v>1</v>
      </c>
      <c r="F24" s="122"/>
      <c r="G24" s="164">
        <f t="shared" si="13"/>
        <v>1</v>
      </c>
      <c r="H24" s="164">
        <f>PortateAria!AD66</f>
        <v>190</v>
      </c>
      <c r="I24" s="131" t="s">
        <v>311</v>
      </c>
      <c r="J24" s="122">
        <f t="shared" si="14"/>
        <v>1</v>
      </c>
      <c r="K24" s="164">
        <f t="shared" si="15"/>
        <v>0</v>
      </c>
      <c r="L24" s="164">
        <f t="shared" si="16"/>
        <v>1</v>
      </c>
      <c r="M24" s="164">
        <f>PortateAria!X66</f>
        <v>0</v>
      </c>
      <c r="N24" s="131" t="s">
        <v>276</v>
      </c>
      <c r="O24" s="122"/>
      <c r="P24" s="164">
        <f t="shared" si="17"/>
        <v>0</v>
      </c>
      <c r="Q24" s="164">
        <f t="shared" si="18"/>
        <v>0</v>
      </c>
    </row>
    <row r="25" spans="1:17" ht="18" customHeight="1">
      <c r="A25" s="311"/>
      <c r="B25" s="121"/>
      <c r="C25" s="164"/>
      <c r="D25" s="131"/>
      <c r="E25" s="122"/>
      <c r="F25" s="122"/>
      <c r="G25" s="164"/>
      <c r="H25" s="164"/>
      <c r="I25" s="131"/>
      <c r="J25" s="122"/>
      <c r="K25" s="164"/>
      <c r="L25" s="164"/>
      <c r="M25" s="164"/>
      <c r="N25" s="131"/>
      <c r="O25" s="122"/>
      <c r="P25" s="164"/>
      <c r="Q25" s="164"/>
    </row>
    <row r="26" spans="1:17" ht="18" customHeight="1">
      <c r="A26" s="311" t="str">
        <f>'Design Criteria'!C30</f>
        <v>0605/0311</v>
      </c>
      <c r="B26" s="121" t="str">
        <f>'Design Criteria'!D30</f>
        <v>WAREHOUSE NORTH SIDE / CORRIDOR</v>
      </c>
      <c r="C26" s="164">
        <f>PortateAria!T81</f>
        <v>6220</v>
      </c>
      <c r="D26" s="131" t="s">
        <v>523</v>
      </c>
      <c r="E26" s="122">
        <f>_xlfn.CEILING.MATH(C26/250,1)</f>
        <v>25</v>
      </c>
      <c r="F26" s="122"/>
      <c r="G26" s="164">
        <f t="shared" si="13"/>
        <v>25</v>
      </c>
      <c r="H26" s="164">
        <f>PortateAria!AD81</f>
        <v>6330</v>
      </c>
      <c r="I26" s="131" t="s">
        <v>523</v>
      </c>
      <c r="J26" s="312">
        <f>_xlfn.CEILING.MATH(H26/260,1)</f>
        <v>25</v>
      </c>
      <c r="K26" s="164">
        <f t="shared" si="15"/>
        <v>0</v>
      </c>
      <c r="L26" s="164">
        <f t="shared" si="16"/>
        <v>25</v>
      </c>
      <c r="M26" s="164">
        <f>PortateAria!X81</f>
        <v>0</v>
      </c>
      <c r="N26" s="131" t="s">
        <v>276</v>
      </c>
      <c r="O26" s="122"/>
      <c r="P26" s="164">
        <f t="shared" si="17"/>
        <v>0</v>
      </c>
      <c r="Q26" s="164">
        <f t="shared" si="18"/>
        <v>0</v>
      </c>
    </row>
    <row r="27" spans="1:17" ht="18" customHeight="1">
      <c r="A27" s="311" t="str">
        <f>'Design Criteria'!C31</f>
        <v>0606</v>
      </c>
      <c r="B27" s="121" t="str">
        <f>'Design Criteria'!D31</f>
        <v>NO BETA AREA CORRIDOR</v>
      </c>
      <c r="C27" s="164">
        <f>PortateAria!T82</f>
        <v>4510</v>
      </c>
      <c r="D27" s="131" t="s">
        <v>523</v>
      </c>
      <c r="E27" s="312">
        <f>_xlfn.CEILING.MATH(C27/260,1)</f>
        <v>18</v>
      </c>
      <c r="F27" s="122"/>
      <c r="G27" s="164">
        <f t="shared" si="13"/>
        <v>18</v>
      </c>
      <c r="H27" s="164">
        <f>PortateAria!AD82</f>
        <v>4340</v>
      </c>
      <c r="I27" s="131" t="s">
        <v>523</v>
      </c>
      <c r="J27" s="122">
        <f t="shared" ref="J27:J28" si="27">_xlfn.CEILING.MATH(H27/250,1)</f>
        <v>18</v>
      </c>
      <c r="K27" s="164">
        <f t="shared" si="15"/>
        <v>0</v>
      </c>
      <c r="L27" s="164">
        <f t="shared" si="16"/>
        <v>18</v>
      </c>
      <c r="M27" s="164">
        <f>PortateAria!X82</f>
        <v>0</v>
      </c>
      <c r="N27" s="131" t="s">
        <v>276</v>
      </c>
      <c r="O27" s="122"/>
      <c r="P27" s="164">
        <f t="shared" si="17"/>
        <v>0</v>
      </c>
      <c r="Q27" s="164">
        <f t="shared" si="18"/>
        <v>0</v>
      </c>
    </row>
    <row r="28" spans="1:17" ht="26.4">
      <c r="A28" s="311" t="str">
        <f>'Design Criteria'!C32</f>
        <v>0615</v>
      </c>
      <c r="B28" s="121" t="str">
        <f>'Design Criteria'!D32</f>
        <v>WASTE MATERIAL EXIT</v>
      </c>
      <c r="C28" s="164">
        <f>PortateAria!T83</f>
        <v>520</v>
      </c>
      <c r="D28" s="131" t="s">
        <v>523</v>
      </c>
      <c r="E28" s="122">
        <f t="shared" ref="E28" si="28">_xlfn.CEILING.MATH(C28/250,1)</f>
        <v>3</v>
      </c>
      <c r="F28" s="122"/>
      <c r="G28" s="164">
        <f t="shared" si="13"/>
        <v>3</v>
      </c>
      <c r="H28" s="164">
        <f>PortateAria!AD83</f>
        <v>1100</v>
      </c>
      <c r="I28" s="131" t="s">
        <v>523</v>
      </c>
      <c r="J28" s="122">
        <f t="shared" si="27"/>
        <v>5</v>
      </c>
      <c r="K28" s="164">
        <f t="shared" si="15"/>
        <v>0</v>
      </c>
      <c r="L28" s="164">
        <f t="shared" si="16"/>
        <v>5</v>
      </c>
      <c r="M28" s="164">
        <f>PortateAria!X83</f>
        <v>0</v>
      </c>
      <c r="N28" s="131" t="s">
        <v>276</v>
      </c>
      <c r="O28" s="122"/>
      <c r="P28" s="164">
        <f t="shared" si="17"/>
        <v>0</v>
      </c>
      <c r="Q28" s="164">
        <f t="shared" si="18"/>
        <v>0</v>
      </c>
    </row>
    <row r="29" spans="1:17">
      <c r="A29" s="311"/>
      <c r="B29" s="121"/>
      <c r="C29" s="164"/>
      <c r="D29" s="131"/>
      <c r="E29" s="122"/>
      <c r="F29" s="122"/>
      <c r="G29" s="164"/>
      <c r="H29" s="164"/>
      <c r="I29" s="131"/>
      <c r="J29" s="122"/>
      <c r="K29" s="164"/>
      <c r="L29" s="164"/>
      <c r="M29" s="164"/>
      <c r="N29" s="131"/>
      <c r="O29" s="122"/>
      <c r="P29" s="164"/>
      <c r="Q29" s="164"/>
    </row>
  </sheetData>
  <mergeCells count="12">
    <mergeCell ref="N2:N6"/>
    <mergeCell ref="O2:Q5"/>
    <mergeCell ref="D2:D6"/>
    <mergeCell ref="M2:M5"/>
    <mergeCell ref="A1:L1"/>
    <mergeCell ref="E2:G5"/>
    <mergeCell ref="J2:L5"/>
    <mergeCell ref="H2:H5"/>
    <mergeCell ref="I2:I6"/>
    <mergeCell ref="A2:A6"/>
    <mergeCell ref="B2:B6"/>
    <mergeCell ref="C2:C5"/>
  </mergeCells>
  <phoneticPr fontId="51" type="noConversion"/>
  <conditionalFormatting sqref="E7:E29">
    <cfRule type="colorScale" priority="56">
      <colorScale>
        <cfvo type="min"/>
        <cfvo type="max"/>
        <color rgb="FFFCFCFF"/>
        <color rgb="FFF8696B"/>
      </colorScale>
    </cfRule>
  </conditionalFormatting>
  <conditionalFormatting sqref="J9">
    <cfRule type="colorScale" priority="1">
      <colorScale>
        <cfvo type="min"/>
        <cfvo type="max"/>
        <color rgb="FFFCFCFF"/>
        <color rgb="FFF8696B"/>
      </colorScale>
    </cfRule>
  </conditionalFormatting>
  <conditionalFormatting sqref="J10">
    <cfRule type="colorScale" priority="5">
      <colorScale>
        <cfvo type="min"/>
        <cfvo type="max"/>
        <color rgb="FFFCFCFF"/>
        <color rgb="FFF8696B"/>
      </colorScale>
    </cfRule>
  </conditionalFormatting>
  <conditionalFormatting sqref="J11:J15">
    <cfRule type="colorScale" priority="10">
      <colorScale>
        <cfvo type="min"/>
        <cfvo type="max"/>
        <color rgb="FFFCFCFF"/>
        <color rgb="FFF8696B"/>
      </colorScale>
    </cfRule>
  </conditionalFormatting>
  <conditionalFormatting sqref="J23">
    <cfRule type="colorScale" priority="8">
      <colorScale>
        <cfvo type="min"/>
        <cfvo type="max"/>
        <color rgb="FFFCFCFF"/>
        <color rgb="FFF8696B"/>
      </colorScale>
    </cfRule>
  </conditionalFormatting>
  <conditionalFormatting sqref="J24:J25 J7:J8 J29 J16:J22">
    <cfRule type="colorScale" priority="44">
      <colorScale>
        <cfvo type="min"/>
        <cfvo type="max"/>
        <color rgb="FFFCFCFF"/>
        <color rgb="FFF8696B"/>
      </colorScale>
    </cfRule>
  </conditionalFormatting>
  <conditionalFormatting sqref="J26:J28">
    <cfRule type="colorScale" priority="4">
      <colorScale>
        <cfvo type="min"/>
        <cfvo type="max"/>
        <color rgb="FFFCFCFF"/>
        <color rgb="FFF8696B"/>
      </colorScale>
    </cfRule>
  </conditionalFormatting>
  <conditionalFormatting sqref="O16:O21">
    <cfRule type="colorScale" priority="7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N34"/>
  <sheetViews>
    <sheetView topLeftCell="A7" zoomScale="115" zoomScaleNormal="115" workbookViewId="0">
      <selection activeCell="B22" sqref="B22"/>
    </sheetView>
  </sheetViews>
  <sheetFormatPr defaultRowHeight="13.2"/>
  <cols>
    <col min="1" max="1" width="9.5546875" bestFit="1" customWidth="1"/>
    <col min="2" max="2" width="38.88671875" customWidth="1"/>
    <col min="6" max="6" width="12.109375" customWidth="1"/>
    <col min="7" max="7" width="10.33203125" customWidth="1"/>
    <col min="9" max="9" width="11.33203125" customWidth="1"/>
    <col min="10" max="11" width="11" bestFit="1" customWidth="1"/>
    <col min="12" max="12" width="11" customWidth="1"/>
    <col min="13" max="13" width="11" bestFit="1" customWidth="1"/>
    <col min="14" max="14" width="12.33203125" customWidth="1"/>
  </cols>
  <sheetData>
    <row r="1" spans="1:14">
      <c r="A1" s="745" t="s">
        <v>29</v>
      </c>
      <c r="B1" s="745" t="s">
        <v>8</v>
      </c>
      <c r="C1" s="750" t="s">
        <v>0</v>
      </c>
      <c r="D1" s="750" t="s">
        <v>1</v>
      </c>
      <c r="E1" s="802" t="s">
        <v>173</v>
      </c>
      <c r="F1" s="776" t="s">
        <v>171</v>
      </c>
      <c r="G1" s="802" t="s">
        <v>172</v>
      </c>
      <c r="H1" s="802" t="s">
        <v>174</v>
      </c>
      <c r="I1" s="776" t="s">
        <v>180</v>
      </c>
      <c r="J1" s="802" t="s">
        <v>175</v>
      </c>
      <c r="K1" s="802" t="s">
        <v>177</v>
      </c>
      <c r="L1" s="802" t="s">
        <v>289</v>
      </c>
      <c r="M1" s="802" t="s">
        <v>183</v>
      </c>
      <c r="N1" s="802" t="s">
        <v>179</v>
      </c>
    </row>
    <row r="2" spans="1:14">
      <c r="A2" s="733"/>
      <c r="B2" s="733"/>
      <c r="C2" s="751"/>
      <c r="D2" s="751"/>
      <c r="E2" s="751"/>
      <c r="F2" s="747"/>
      <c r="G2" s="751"/>
      <c r="H2" s="751"/>
      <c r="I2" s="747"/>
      <c r="J2" s="751"/>
      <c r="K2" s="751"/>
      <c r="L2" s="751"/>
      <c r="M2" s="751"/>
      <c r="N2" s="751"/>
    </row>
    <row r="3" spans="1:14">
      <c r="A3" s="733"/>
      <c r="B3" s="733"/>
      <c r="C3" s="751"/>
      <c r="D3" s="751"/>
      <c r="E3" s="751"/>
      <c r="F3" s="747"/>
      <c r="G3" s="751"/>
      <c r="H3" s="751"/>
      <c r="I3" s="747"/>
      <c r="J3" s="751"/>
      <c r="K3" s="751"/>
      <c r="L3" s="751"/>
      <c r="M3" s="751"/>
      <c r="N3" s="751"/>
    </row>
    <row r="4" spans="1:14">
      <c r="A4" s="733"/>
      <c r="B4" s="733"/>
      <c r="C4" s="751"/>
      <c r="D4" s="751"/>
      <c r="E4" s="751"/>
      <c r="F4" s="747"/>
      <c r="G4" s="751"/>
      <c r="H4" s="751"/>
      <c r="I4" s="747"/>
      <c r="J4" s="751"/>
      <c r="K4" s="751"/>
      <c r="L4" s="751"/>
      <c r="M4" s="751"/>
      <c r="N4" s="751"/>
    </row>
    <row r="5" spans="1:14">
      <c r="A5" s="733"/>
      <c r="B5" s="733"/>
      <c r="C5" s="154" t="s">
        <v>38</v>
      </c>
      <c r="D5" s="154" t="s">
        <v>39</v>
      </c>
      <c r="E5" s="26" t="s">
        <v>170</v>
      </c>
      <c r="F5" s="747"/>
      <c r="G5" s="26" t="s">
        <v>90</v>
      </c>
      <c r="H5" s="26" t="s">
        <v>170</v>
      </c>
      <c r="I5" s="747"/>
      <c r="J5" s="26" t="s">
        <v>176</v>
      </c>
      <c r="K5" s="26" t="s">
        <v>178</v>
      </c>
      <c r="L5" s="26" t="s">
        <v>90</v>
      </c>
      <c r="M5" s="26" t="s">
        <v>178</v>
      </c>
      <c r="N5" s="26" t="s">
        <v>178</v>
      </c>
    </row>
    <row r="6" spans="1:14">
      <c r="A6" s="94" t="str">
        <f>PortateAria!A7</f>
        <v>E001</v>
      </c>
      <c r="B6" s="94" t="str">
        <f>PortateAria!B7</f>
        <v>MATERIAL RECEIVING LINK CORRIDOR</v>
      </c>
      <c r="C6" s="38">
        <f>PortateAria!E7</f>
        <v>238.5</v>
      </c>
      <c r="D6" s="364">
        <f>PortateAria!F7</f>
        <v>643.95000000000005</v>
      </c>
      <c r="E6" s="291">
        <f>'Design Criteria'!W8</f>
        <v>0</v>
      </c>
      <c r="F6" s="156"/>
      <c r="G6" s="23">
        <v>60</v>
      </c>
      <c r="H6" s="38">
        <f>_xlfn.CEILING.MATH(F6*C6*G6%,1)</f>
        <v>0</v>
      </c>
      <c r="I6" s="23"/>
      <c r="J6" s="157">
        <f>I6*3600/1000</f>
        <v>0</v>
      </c>
      <c r="K6" s="158">
        <f>_xlfn.CEILING.MATH(J6*E6,10)</f>
        <v>0</v>
      </c>
      <c r="L6" s="290">
        <f>PortateAria!$AG$13</f>
        <v>0.12820512820512819</v>
      </c>
      <c r="M6" s="155">
        <f>K6/L6</f>
        <v>0</v>
      </c>
      <c r="N6" s="155">
        <f>PortateAria!T7</f>
        <v>6470</v>
      </c>
    </row>
    <row r="7" spans="1:14">
      <c r="A7" s="358"/>
      <c r="B7" s="358"/>
      <c r="C7" s="23"/>
      <c r="D7" s="23"/>
      <c r="E7" s="359"/>
      <c r="F7" s="156"/>
      <c r="G7" s="23"/>
      <c r="H7" s="23"/>
      <c r="I7" s="23"/>
      <c r="J7" s="360"/>
      <c r="K7" s="361"/>
      <c r="L7" s="362"/>
      <c r="M7" s="363"/>
      <c r="N7" s="363"/>
    </row>
    <row r="8" spans="1:14">
      <c r="A8" s="94" t="str">
        <f>PortateAria!A22</f>
        <v>A001</v>
      </c>
      <c r="B8" s="94" t="str">
        <f>PortateAria!B22</f>
        <v>ENTRANCE</v>
      </c>
      <c r="C8" s="364">
        <f>PortateAria!E22</f>
        <v>18.510000000000002</v>
      </c>
      <c r="D8" s="364">
        <f>PortateAria!F22</f>
        <v>96.25200000000001</v>
      </c>
      <c r="E8" s="291">
        <f>'Design Criteria'!W10</f>
        <v>0</v>
      </c>
      <c r="F8" s="156"/>
      <c r="G8" s="23">
        <v>60</v>
      </c>
      <c r="H8" s="38">
        <f t="shared" ref="H8:H21" si="0">_xlfn.CEILING.MATH(F8*C8*G8%,1)</f>
        <v>0</v>
      </c>
      <c r="I8" s="23"/>
      <c r="J8" s="157">
        <f t="shared" ref="J8:J21" si="1">I8*3600/1000</f>
        <v>0</v>
      </c>
      <c r="K8" s="158">
        <f t="shared" ref="K8:K21" si="2">_xlfn.CEILING.MATH(J8*E8,10)</f>
        <v>0</v>
      </c>
      <c r="L8" s="290">
        <f>PortateAria!$AG$36</f>
        <v>0.13375796178343949</v>
      </c>
      <c r="M8" s="155">
        <f t="shared" ref="M8:M21" si="3">K8/L8</f>
        <v>0</v>
      </c>
      <c r="N8" s="155">
        <f>PortateAria!T22</f>
        <v>560</v>
      </c>
    </row>
    <row r="9" spans="1:14">
      <c r="A9" s="94" t="str">
        <f>PortateAria!A23</f>
        <v>A002</v>
      </c>
      <c r="B9" s="94" t="str">
        <f>PortateAria!B23</f>
        <v>HANDLING AREA</v>
      </c>
      <c r="C9" s="364">
        <f>PortateAria!E23</f>
        <v>366.14</v>
      </c>
      <c r="D9" s="364">
        <f>PortateAria!F23</f>
        <v>1903.9279999999999</v>
      </c>
      <c r="E9" s="291">
        <f>'Design Criteria'!W11</f>
        <v>10</v>
      </c>
      <c r="F9" s="156">
        <v>0.08</v>
      </c>
      <c r="G9" s="23">
        <v>60</v>
      </c>
      <c r="H9" s="38">
        <f>_xlfn.CEILING.MATH(F9*C9*G9%,1)</f>
        <v>18</v>
      </c>
      <c r="I9" s="23">
        <v>7</v>
      </c>
      <c r="J9" s="157">
        <f>I9*3600/1000</f>
        <v>25.2</v>
      </c>
      <c r="K9" s="158">
        <f>_xlfn.CEILING.MATH(J9*E9,10)</f>
        <v>260</v>
      </c>
      <c r="L9" s="290">
        <f>PortateAria!$AG$36</f>
        <v>0.13375796178343949</v>
      </c>
      <c r="M9" s="155">
        <f>K9/L9</f>
        <v>1943.8095238095239</v>
      </c>
      <c r="N9" s="155">
        <f>PortateAria!T23</f>
        <v>8890</v>
      </c>
    </row>
    <row r="10" spans="1:14">
      <c r="A10" s="94" t="str">
        <f>PortateAria!A24</f>
        <v>A101</v>
      </c>
      <c r="B10" s="94" t="str">
        <f>PortateAria!B24</f>
        <v>FILTER AGAINST FIRE</v>
      </c>
      <c r="C10" s="364">
        <f>PortateAria!E24</f>
        <v>8.9</v>
      </c>
      <c r="D10" s="364">
        <f>PortateAria!F24</f>
        <v>24.03</v>
      </c>
      <c r="E10" s="291">
        <f>'Design Criteria'!W12</f>
        <v>0</v>
      </c>
      <c r="F10" s="156"/>
      <c r="G10" s="23">
        <v>60</v>
      </c>
      <c r="H10" s="38">
        <f t="shared" si="0"/>
        <v>0</v>
      </c>
      <c r="I10" s="23"/>
      <c r="J10" s="157">
        <f t="shared" si="1"/>
        <v>0</v>
      </c>
      <c r="K10" s="158">
        <f t="shared" si="2"/>
        <v>0</v>
      </c>
      <c r="L10" s="290">
        <f>PortateAria!$AG$36</f>
        <v>0.13375796178343949</v>
      </c>
      <c r="M10" s="155">
        <f t="shared" si="3"/>
        <v>0</v>
      </c>
      <c r="N10" s="155">
        <f>PortateAria!T24</f>
        <v>380</v>
      </c>
    </row>
    <row r="11" spans="1:14">
      <c r="A11" s="94" t="str">
        <f>PortateAria!A25</f>
        <v>A102</v>
      </c>
      <c r="B11" s="94" t="str">
        <f>PortateAria!B25</f>
        <v>AIRLOCK VT</v>
      </c>
      <c r="C11" s="364">
        <f>PortateAria!E25</f>
        <v>5.9</v>
      </c>
      <c r="D11" s="364">
        <f>PortateAria!F25</f>
        <v>15.930000000000001</v>
      </c>
      <c r="E11" s="291">
        <f>'Design Criteria'!W13</f>
        <v>0</v>
      </c>
      <c r="F11" s="156"/>
      <c r="G11" s="23">
        <v>60</v>
      </c>
      <c r="H11" s="38">
        <f t="shared" si="0"/>
        <v>0</v>
      </c>
      <c r="I11" s="23"/>
      <c r="J11" s="157">
        <f t="shared" si="1"/>
        <v>0</v>
      </c>
      <c r="K11" s="158">
        <f t="shared" si="2"/>
        <v>0</v>
      </c>
      <c r="L11" s="290">
        <f>PortateAria!$AG$36</f>
        <v>0.13375796178343949</v>
      </c>
      <c r="M11" s="155">
        <f t="shared" si="3"/>
        <v>0</v>
      </c>
      <c r="N11" s="155">
        <f>PortateAria!T25</f>
        <v>260</v>
      </c>
    </row>
    <row r="12" spans="1:14">
      <c r="A12" s="94" t="str">
        <f>PortateAria!A26</f>
        <v>A103</v>
      </c>
      <c r="B12" s="94" t="str">
        <f>PortateAria!B26</f>
        <v>CORRIDOR</v>
      </c>
      <c r="C12" s="364">
        <f>PortateAria!E26</f>
        <v>23.36</v>
      </c>
      <c r="D12" s="364">
        <f>PortateAria!F26</f>
        <v>63.072000000000003</v>
      </c>
      <c r="E12" s="291">
        <f>'Design Criteria'!W14</f>
        <v>0</v>
      </c>
      <c r="F12" s="156"/>
      <c r="G12" s="23">
        <v>60</v>
      </c>
      <c r="H12" s="38">
        <f t="shared" si="0"/>
        <v>0</v>
      </c>
      <c r="I12" s="23"/>
      <c r="J12" s="157">
        <f t="shared" si="1"/>
        <v>0</v>
      </c>
      <c r="K12" s="158">
        <f t="shared" si="2"/>
        <v>0</v>
      </c>
      <c r="L12" s="290">
        <f>PortateAria!$AG$36</f>
        <v>0.13375796178343949</v>
      </c>
      <c r="M12" s="155">
        <f t="shared" si="3"/>
        <v>0</v>
      </c>
      <c r="N12" s="155">
        <f>PortateAria!T26</f>
        <v>950</v>
      </c>
    </row>
    <row r="13" spans="1:14">
      <c r="A13" s="94" t="str">
        <f>PortateAria!A27</f>
        <v>0428</v>
      </c>
      <c r="B13" s="94" t="str">
        <f>PortateAria!B27</f>
        <v>PREDISPOSITION TO DS</v>
      </c>
      <c r="C13" s="364">
        <f>PortateAria!E27</f>
        <v>63.81</v>
      </c>
      <c r="D13" s="364">
        <f>PortateAria!F27</f>
        <v>172.28700000000001</v>
      </c>
      <c r="E13" s="291">
        <f>'Design Criteria'!W15</f>
        <v>0</v>
      </c>
      <c r="F13" s="156"/>
      <c r="G13" s="23">
        <v>60</v>
      </c>
      <c r="H13" s="38">
        <f t="shared" ref="H13:H14" si="4">_xlfn.CEILING.MATH(F13*C13*G13%,1)</f>
        <v>0</v>
      </c>
      <c r="I13" s="23"/>
      <c r="J13" s="157">
        <f t="shared" ref="J13:J14" si="5">I13*3600/1000</f>
        <v>0</v>
      </c>
      <c r="K13" s="158">
        <f t="shared" ref="K13:K14" si="6">_xlfn.CEILING.MATH(J13*E13,10)</f>
        <v>0</v>
      </c>
      <c r="L13" s="290">
        <f>PortateAria!$AG$36</f>
        <v>0.13375796178343949</v>
      </c>
      <c r="M13" s="155">
        <f t="shared" ref="M13:M14" si="7">K13/L13</f>
        <v>0</v>
      </c>
      <c r="N13" s="155">
        <f>PortateAria!T27</f>
        <v>520</v>
      </c>
    </row>
    <row r="14" spans="1:14">
      <c r="A14" s="94" t="str">
        <f>PortateAria!A28</f>
        <v>0437</v>
      </c>
      <c r="B14" s="434" t="str">
        <f>PortateAria!B28</f>
        <v>REVAMPING SAMPLING ON LINE (FUTURO)</v>
      </c>
      <c r="C14" s="364">
        <f>PortateAria!E28</f>
        <v>43.5</v>
      </c>
      <c r="D14" s="364">
        <f>PortateAria!F28</f>
        <v>130.5</v>
      </c>
      <c r="E14" s="291">
        <f>'Design Criteria'!W16</f>
        <v>0</v>
      </c>
      <c r="F14" s="156"/>
      <c r="G14" s="23">
        <v>60</v>
      </c>
      <c r="H14" s="38">
        <f t="shared" si="4"/>
        <v>0</v>
      </c>
      <c r="I14" s="23"/>
      <c r="J14" s="157">
        <f t="shared" si="5"/>
        <v>0</v>
      </c>
      <c r="K14" s="158">
        <f t="shared" si="6"/>
        <v>0</v>
      </c>
      <c r="L14" s="290">
        <f>PortateAria!$AG$36</f>
        <v>0.13375796178343949</v>
      </c>
      <c r="M14" s="155">
        <f t="shared" si="7"/>
        <v>0</v>
      </c>
      <c r="N14" s="155">
        <f>PortateAria!T28</f>
        <v>400</v>
      </c>
    </row>
    <row r="15" spans="1:14">
      <c r="A15" s="94" t="str">
        <f>PortateAria!A29</f>
        <v>1278</v>
      </c>
      <c r="B15" s="434" t="str">
        <f>PortateAria!B29</f>
        <v>REVAMPING PASSAGEWAY (FUTURO)</v>
      </c>
      <c r="C15" s="364">
        <f>PortateAria!E29</f>
        <v>52.56</v>
      </c>
      <c r="D15" s="364">
        <f>PortateAria!F29</f>
        <v>157.68</v>
      </c>
      <c r="E15" s="291">
        <f>'Design Criteria'!W17</f>
        <v>0</v>
      </c>
      <c r="F15" s="156"/>
      <c r="G15" s="23">
        <v>60</v>
      </c>
      <c r="H15" s="38">
        <f t="shared" ref="H15" si="8">_xlfn.CEILING.MATH(F15*C15*G15%,1)</f>
        <v>0</v>
      </c>
      <c r="I15" s="23"/>
      <c r="J15" s="157">
        <f t="shared" ref="J15" si="9">I15*3600/1000</f>
        <v>0</v>
      </c>
      <c r="K15" s="158">
        <f t="shared" ref="K15" si="10">_xlfn.CEILING.MATH(J15*E15,10)</f>
        <v>0</v>
      </c>
      <c r="L15" s="290">
        <f>PortateAria!$AG$36</f>
        <v>0.13375796178343949</v>
      </c>
      <c r="M15" s="155">
        <f t="shared" ref="M15" si="11">K15/L15</f>
        <v>0</v>
      </c>
      <c r="N15" s="155">
        <f>PortateAria!T29</f>
        <v>480</v>
      </c>
    </row>
    <row r="16" spans="1:14" ht="26.4">
      <c r="A16" s="94" t="str">
        <f>PortateAria!A30</f>
        <v>1373</v>
      </c>
      <c r="B16" s="434" t="str">
        <f>PortateAria!B30</f>
        <v>REVAMPING CALIBRATION AREA (FUTURO)</v>
      </c>
      <c r="C16" s="364">
        <f>PortateAria!E30</f>
        <v>70.27</v>
      </c>
      <c r="D16" s="364">
        <f>PortateAria!F30</f>
        <v>210.81</v>
      </c>
      <c r="E16" s="291">
        <f>'Design Criteria'!W18</f>
        <v>0</v>
      </c>
      <c r="F16" s="156"/>
      <c r="G16" s="23">
        <v>60</v>
      </c>
      <c r="H16" s="38">
        <f t="shared" ref="H16" si="12">_xlfn.CEILING.MATH(F16*C16*G16%,1)</f>
        <v>0</v>
      </c>
      <c r="I16" s="23"/>
      <c r="J16" s="157">
        <f t="shared" ref="J16" si="13">I16*3600/1000</f>
        <v>0</v>
      </c>
      <c r="K16" s="158">
        <f t="shared" ref="K16" si="14">_xlfn.CEILING.MATH(J16*E16,10)</f>
        <v>0</v>
      </c>
      <c r="L16" s="290">
        <f>PortateAria!$AG$36</f>
        <v>0.13375796178343949</v>
      </c>
      <c r="M16" s="155">
        <f t="shared" ref="M16" si="15">K16/L16</f>
        <v>0</v>
      </c>
      <c r="N16" s="155">
        <f>PortateAria!T30</f>
        <v>640</v>
      </c>
    </row>
    <row r="17" spans="1:14">
      <c r="A17" s="358"/>
      <c r="B17" s="358"/>
      <c r="C17" s="23"/>
      <c r="D17" s="23"/>
      <c r="E17" s="359"/>
      <c r="F17" s="156"/>
      <c r="G17" s="23"/>
      <c r="H17" s="23"/>
      <c r="I17" s="23"/>
      <c r="J17" s="360"/>
      <c r="K17" s="361"/>
      <c r="L17" s="362"/>
      <c r="M17" s="363"/>
      <c r="N17" s="363"/>
    </row>
    <row r="18" spans="1:14">
      <c r="A18" s="94" t="str">
        <f>PortateAria!A45</f>
        <v>A104</v>
      </c>
      <c r="B18" s="94" t="str">
        <f>PortateAria!B45</f>
        <v>MALE CHANGING ROOM</v>
      </c>
      <c r="C18" s="364">
        <f>PortateAria!E45</f>
        <v>18.37</v>
      </c>
      <c r="D18" s="364">
        <f>PortateAria!F45</f>
        <v>49.599000000000004</v>
      </c>
      <c r="E18" s="291">
        <f>'Design Criteria'!W20</f>
        <v>7</v>
      </c>
      <c r="F18" s="156">
        <v>0.6</v>
      </c>
      <c r="G18" s="23">
        <v>60</v>
      </c>
      <c r="H18" s="38">
        <f t="shared" si="0"/>
        <v>7</v>
      </c>
      <c r="I18" s="23">
        <v>11</v>
      </c>
      <c r="J18" s="157">
        <f t="shared" si="1"/>
        <v>39.6</v>
      </c>
      <c r="K18" s="158">
        <f t="shared" si="2"/>
        <v>280</v>
      </c>
      <c r="L18" s="290">
        <f>PortateAria!$AG$56</f>
        <v>1</v>
      </c>
      <c r="M18" s="155">
        <f t="shared" si="3"/>
        <v>280</v>
      </c>
      <c r="N18" s="155">
        <f>PortateAria!T45</f>
        <v>350</v>
      </c>
    </row>
    <row r="19" spans="1:14">
      <c r="A19" s="94" t="str">
        <f>PortateAria!A46</f>
        <v>A105</v>
      </c>
      <c r="B19" s="94" t="str">
        <f>PortateAria!B46</f>
        <v>MALE WC</v>
      </c>
      <c r="C19" s="364">
        <f>PortateAria!E46</f>
        <v>23</v>
      </c>
      <c r="D19" s="364">
        <f>PortateAria!F46</f>
        <v>62.1</v>
      </c>
      <c r="E19" s="291">
        <f>'Design Criteria'!W21</f>
        <v>0</v>
      </c>
      <c r="F19" s="156"/>
      <c r="G19" s="23">
        <v>60</v>
      </c>
      <c r="H19" s="38">
        <f t="shared" si="0"/>
        <v>0</v>
      </c>
      <c r="I19" s="23"/>
      <c r="J19" s="157">
        <f t="shared" si="1"/>
        <v>0</v>
      </c>
      <c r="K19" s="158">
        <f t="shared" si="2"/>
        <v>0</v>
      </c>
      <c r="L19" s="290">
        <f>PortateAria!$AG$56</f>
        <v>1</v>
      </c>
      <c r="M19" s="155">
        <f t="shared" si="3"/>
        <v>0</v>
      </c>
      <c r="N19" s="155">
        <f>PortateAria!T46</f>
        <v>500</v>
      </c>
    </row>
    <row r="20" spans="1:14">
      <c r="A20" s="94" t="str">
        <f>PortateAria!A47</f>
        <v>A106</v>
      </c>
      <c r="B20" s="94" t="str">
        <f>PortateAria!B47</f>
        <v>FEMALE WC</v>
      </c>
      <c r="C20" s="364">
        <f>PortateAria!E47</f>
        <v>23</v>
      </c>
      <c r="D20" s="364">
        <f>PortateAria!F47</f>
        <v>62.1</v>
      </c>
      <c r="E20" s="291">
        <f>'Design Criteria'!W22</f>
        <v>0</v>
      </c>
      <c r="F20" s="156"/>
      <c r="G20" s="23">
        <v>60</v>
      </c>
      <c r="H20" s="38">
        <f t="shared" si="0"/>
        <v>0</v>
      </c>
      <c r="I20" s="23"/>
      <c r="J20" s="157">
        <f t="shared" si="1"/>
        <v>0</v>
      </c>
      <c r="K20" s="158">
        <f t="shared" si="2"/>
        <v>0</v>
      </c>
      <c r="L20" s="290">
        <f>PortateAria!$AG$56</f>
        <v>1</v>
      </c>
      <c r="M20" s="155">
        <f t="shared" si="3"/>
        <v>0</v>
      </c>
      <c r="N20" s="155">
        <f>PortateAria!T47</f>
        <v>500</v>
      </c>
    </row>
    <row r="21" spans="1:14">
      <c r="A21" s="94" t="str">
        <f>PortateAria!A48</f>
        <v>A107</v>
      </c>
      <c r="B21" s="94" t="str">
        <f>PortateAria!B48</f>
        <v>FEMALE CHANGING ROOM</v>
      </c>
      <c r="C21" s="364">
        <f>PortateAria!E48</f>
        <v>26</v>
      </c>
      <c r="D21" s="364">
        <f>PortateAria!F48</f>
        <v>70.2</v>
      </c>
      <c r="E21" s="291">
        <f>'Design Criteria'!W23</f>
        <v>10</v>
      </c>
      <c r="F21" s="156">
        <v>0.6</v>
      </c>
      <c r="G21" s="23">
        <v>60</v>
      </c>
      <c r="H21" s="38">
        <f t="shared" si="0"/>
        <v>10</v>
      </c>
      <c r="I21" s="23">
        <v>11</v>
      </c>
      <c r="J21" s="157">
        <f t="shared" si="1"/>
        <v>39.6</v>
      </c>
      <c r="K21" s="158">
        <f t="shared" si="2"/>
        <v>400</v>
      </c>
      <c r="L21" s="290">
        <f>PortateAria!$AG$56</f>
        <v>1</v>
      </c>
      <c r="M21" s="155">
        <f t="shared" si="3"/>
        <v>400</v>
      </c>
      <c r="N21" s="155">
        <f>PortateAria!T48</f>
        <v>500</v>
      </c>
    </row>
    <row r="22" spans="1:14">
      <c r="A22" s="94" t="str">
        <f>PortateAria!A49</f>
        <v>A110</v>
      </c>
      <c r="B22" s="94" t="str">
        <f>PortateAria!B49</f>
        <v>SUPERVISOR ROOM</v>
      </c>
      <c r="C22" s="364">
        <f>PortateAria!E49</f>
        <v>7</v>
      </c>
      <c r="D22" s="364">
        <f>PortateAria!F49</f>
        <v>18.900000000000002</v>
      </c>
      <c r="E22" s="291">
        <f>'Design Criteria'!W24</f>
        <v>1</v>
      </c>
      <c r="F22" s="156">
        <v>0.06</v>
      </c>
      <c r="G22" s="23">
        <v>60</v>
      </c>
      <c r="H22" s="38">
        <f t="shared" ref="H22:H23" si="16">_xlfn.CEILING.MATH(F22*C22*G22%,1)</f>
        <v>1</v>
      </c>
      <c r="I22" s="23">
        <v>11</v>
      </c>
      <c r="J22" s="157">
        <f t="shared" ref="J22:J23" si="17">I22*3600/1000</f>
        <v>39.6</v>
      </c>
      <c r="K22" s="158">
        <f t="shared" ref="K22:K23" si="18">_xlfn.CEILING.MATH(J22*E22,10)</f>
        <v>40</v>
      </c>
      <c r="L22" s="290">
        <f>PortateAria!$AG$56</f>
        <v>1</v>
      </c>
      <c r="M22" s="155">
        <f t="shared" ref="M22:M23" si="19">K22/L22</f>
        <v>40</v>
      </c>
      <c r="N22" s="155">
        <f>PortateAria!T49</f>
        <v>250</v>
      </c>
    </row>
    <row r="23" spans="1:14">
      <c r="A23" s="94" t="str">
        <f>PortateAria!A50</f>
        <v>A109</v>
      </c>
      <c r="B23" s="94" t="str">
        <f>PortateAria!B50</f>
        <v>UPS ROOM</v>
      </c>
      <c r="C23" s="364">
        <f>PortateAria!E50</f>
        <v>6</v>
      </c>
      <c r="D23" s="364">
        <f>PortateAria!F50</f>
        <v>16.200000000000003</v>
      </c>
      <c r="E23" s="291">
        <f>'Design Criteria'!W25</f>
        <v>0</v>
      </c>
      <c r="F23" s="156"/>
      <c r="G23" s="23">
        <v>60</v>
      </c>
      <c r="H23" s="38">
        <f t="shared" si="16"/>
        <v>0</v>
      </c>
      <c r="I23" s="23"/>
      <c r="J23" s="157">
        <f t="shared" si="17"/>
        <v>0</v>
      </c>
      <c r="K23" s="158">
        <f t="shared" si="18"/>
        <v>0</v>
      </c>
      <c r="L23" s="290">
        <f>PortateAria!$AG$56</f>
        <v>1</v>
      </c>
      <c r="M23" s="155">
        <f t="shared" si="19"/>
        <v>0</v>
      </c>
      <c r="N23" s="155">
        <f>PortateAria!T50</f>
        <v>100</v>
      </c>
    </row>
    <row r="25" spans="1:14">
      <c r="A25" s="94" t="str">
        <f>PortateAria!A65</f>
        <v>E002</v>
      </c>
      <c r="B25" s="94" t="str">
        <f>PortateAria!B65</f>
        <v>LOGISTIC AIRLOCK OUT</v>
      </c>
      <c r="C25" s="364">
        <f>PortateAria!E65</f>
        <v>24.5</v>
      </c>
      <c r="D25" s="364">
        <f>PortateAria!F65</f>
        <v>66.150000000000006</v>
      </c>
      <c r="E25" s="291">
        <f>'Design Criteria'!W27</f>
        <v>0</v>
      </c>
      <c r="F25" s="156"/>
      <c r="G25" s="23">
        <v>60</v>
      </c>
      <c r="H25" s="38">
        <f t="shared" ref="H25" si="20">_xlfn.CEILING.MATH(F25*C25*G25%,1)</f>
        <v>0</v>
      </c>
      <c r="I25" s="23"/>
      <c r="J25" s="157">
        <f t="shared" ref="J25" si="21">I25*3600/1000</f>
        <v>0</v>
      </c>
      <c r="K25" s="158">
        <f t="shared" ref="K25" si="22">_xlfn.CEILING.MATH(J25*E25,10)</f>
        <v>0</v>
      </c>
      <c r="L25" s="290">
        <f>PortateAria!$AG$72</f>
        <v>0.55555555555555558</v>
      </c>
      <c r="M25" s="155">
        <f t="shared" ref="M25" si="23">K25/L25</f>
        <v>0</v>
      </c>
      <c r="N25" s="155">
        <f>PortateAria!T65</f>
        <v>1000</v>
      </c>
    </row>
    <row r="26" spans="1:14">
      <c r="A26" s="94" t="str">
        <f>PortateAria!A66</f>
        <v>E003</v>
      </c>
      <c r="B26" s="94" t="str">
        <f>PortateAria!B66</f>
        <v>LOGISTIC AIRLOCK IN</v>
      </c>
      <c r="C26" s="364">
        <f>PortateAria!E66</f>
        <v>4.58</v>
      </c>
      <c r="D26" s="364">
        <f>PortateAria!F66</f>
        <v>10.991999999999999</v>
      </c>
      <c r="E26" s="291">
        <f>'Design Criteria'!W28</f>
        <v>0</v>
      </c>
      <c r="F26" s="156"/>
      <c r="G26" s="23">
        <v>60</v>
      </c>
      <c r="H26" s="38">
        <f t="shared" ref="H26" si="24">_xlfn.CEILING.MATH(F26*C26*G26%,1)</f>
        <v>0</v>
      </c>
      <c r="I26" s="23"/>
      <c r="J26" s="157">
        <f t="shared" ref="J26" si="25">I26*3600/1000</f>
        <v>0</v>
      </c>
      <c r="K26" s="158">
        <f t="shared" ref="K26" si="26">_xlfn.CEILING.MATH(J26*E26,10)</f>
        <v>0</v>
      </c>
      <c r="L26" s="290">
        <f>PortateAria!$AG$72</f>
        <v>0.55555555555555558</v>
      </c>
      <c r="M26" s="155">
        <f t="shared" ref="M26" si="27">K26/L26</f>
        <v>0</v>
      </c>
      <c r="N26" s="155">
        <f>PortateAria!T66</f>
        <v>500</v>
      </c>
    </row>
    <row r="27" spans="1:14">
      <c r="A27" s="358"/>
      <c r="B27" s="358"/>
      <c r="C27" s="23"/>
      <c r="D27" s="23"/>
      <c r="E27" s="359"/>
      <c r="F27" s="156"/>
      <c r="G27" s="23"/>
      <c r="H27" s="23"/>
      <c r="I27" s="23"/>
      <c r="J27" s="360"/>
      <c r="K27" s="361"/>
      <c r="L27" s="362"/>
      <c r="M27" s="363"/>
      <c r="N27" s="363"/>
    </row>
    <row r="28" spans="1:14">
      <c r="A28" s="94" t="str">
        <f>PortateAria!A81</f>
        <v>0605/0311</v>
      </c>
      <c r="B28" s="94" t="str">
        <f>PortateAria!B81</f>
        <v>WAREHOUSE NORTH SIDE / CORRIDOR</v>
      </c>
      <c r="C28" s="364">
        <f>PortateAria!E81</f>
        <v>682</v>
      </c>
      <c r="D28" s="364">
        <f>PortateAria!F81</f>
        <v>2046</v>
      </c>
      <c r="E28" s="291">
        <f>'Design Criteria'!W30</f>
        <v>1</v>
      </c>
      <c r="F28" s="156">
        <v>0.08</v>
      </c>
      <c r="G28" s="23">
        <v>60</v>
      </c>
      <c r="H28" s="38">
        <f t="shared" ref="H28" si="28">_xlfn.CEILING.MATH(F28*C28*G28%,1)</f>
        <v>33</v>
      </c>
      <c r="I28" s="23">
        <v>7</v>
      </c>
      <c r="J28" s="157">
        <f t="shared" ref="J28" si="29">I28*3600/1000</f>
        <v>25.2</v>
      </c>
      <c r="K28" s="158">
        <f t="shared" ref="K28" si="30">_xlfn.CEILING.MATH(J28*E28,10)</f>
        <v>30</v>
      </c>
      <c r="L28" s="290">
        <f>PortateAria!$AG$89</f>
        <v>2.9629629629629631E-2</v>
      </c>
      <c r="M28" s="155">
        <f t="shared" ref="M28" si="31">K28/L28</f>
        <v>1012.5</v>
      </c>
      <c r="N28" s="155">
        <f>PortateAria!T81</f>
        <v>6220</v>
      </c>
    </row>
    <row r="29" spans="1:14">
      <c r="A29" s="94" t="str">
        <f>PortateAria!A82</f>
        <v>0606</v>
      </c>
      <c r="B29" s="94" t="str">
        <f>PortateAria!B82</f>
        <v>NO BETA AREA CORRIDOR</v>
      </c>
      <c r="C29" s="364">
        <f>PortateAria!E82</f>
        <v>228</v>
      </c>
      <c r="D29" s="364">
        <f>PortateAria!F82</f>
        <v>769.5</v>
      </c>
      <c r="E29" s="291">
        <f>'Design Criteria'!W31</f>
        <v>0</v>
      </c>
      <c r="F29" s="156"/>
      <c r="G29" s="23">
        <v>60</v>
      </c>
      <c r="H29" s="38">
        <f t="shared" ref="H29:H30" si="32">_xlfn.CEILING.MATH(F29*C29*G29%,1)</f>
        <v>0</v>
      </c>
      <c r="I29" s="23"/>
      <c r="J29" s="157">
        <f t="shared" ref="J29:J30" si="33">I29*3600/1000</f>
        <v>0</v>
      </c>
      <c r="K29" s="158">
        <f t="shared" ref="K29:K30" si="34">_xlfn.CEILING.MATH(J29*E29,10)</f>
        <v>0</v>
      </c>
      <c r="L29" s="290">
        <f>PortateAria!$AG$89</f>
        <v>2.9629629629629631E-2</v>
      </c>
      <c r="M29" s="155">
        <f t="shared" ref="M29:M30" si="35">K29/L29</f>
        <v>0</v>
      </c>
      <c r="N29" s="155">
        <f>PortateAria!T82</f>
        <v>4510</v>
      </c>
    </row>
    <row r="30" spans="1:14">
      <c r="A30" s="94" t="str">
        <f>PortateAria!A83</f>
        <v>0615</v>
      </c>
      <c r="B30" s="94" t="str">
        <f>PortateAria!B83</f>
        <v>WASTE MATERIAL EXIT</v>
      </c>
      <c r="C30" s="364">
        <f>PortateAria!E83</f>
        <v>24.3</v>
      </c>
      <c r="D30" s="364">
        <f>PortateAria!F83</f>
        <v>87.48</v>
      </c>
      <c r="E30" s="291">
        <f>'Design Criteria'!W32</f>
        <v>0</v>
      </c>
      <c r="F30" s="156"/>
      <c r="G30" s="23">
        <v>60</v>
      </c>
      <c r="H30" s="38">
        <f t="shared" si="32"/>
        <v>0</v>
      </c>
      <c r="I30" s="23"/>
      <c r="J30" s="157">
        <f t="shared" si="33"/>
        <v>0</v>
      </c>
      <c r="K30" s="158">
        <f t="shared" si="34"/>
        <v>0</v>
      </c>
      <c r="L30" s="290">
        <f>PortateAria!$AG$89</f>
        <v>2.9629629629629631E-2</v>
      </c>
      <c r="M30" s="155">
        <f t="shared" si="35"/>
        <v>0</v>
      </c>
      <c r="N30" s="155">
        <f>PortateAria!T83</f>
        <v>520</v>
      </c>
    </row>
    <row r="32" spans="1:14">
      <c r="A32" s="94" t="str">
        <f>PortateAria!A98</f>
        <v>B001</v>
      </c>
      <c r="B32" s="94" t="str">
        <f>PortateAria!B98</f>
        <v>DS STORAGE</v>
      </c>
      <c r="C32" s="364">
        <f>PortateAria!E98</f>
        <v>37.18</v>
      </c>
      <c r="D32" s="364">
        <f>PortateAria!F98</f>
        <v>100.38600000000001</v>
      </c>
      <c r="E32" s="291">
        <f>'Design Criteria'!W34</f>
        <v>0</v>
      </c>
      <c r="F32" s="156"/>
      <c r="G32" s="23">
        <v>60</v>
      </c>
      <c r="H32" s="38">
        <f t="shared" ref="H32:H34" si="36">_xlfn.CEILING.MATH(F32*C32*G32%,1)</f>
        <v>0</v>
      </c>
      <c r="I32" s="23"/>
      <c r="J32" s="157">
        <f t="shared" ref="J32:J34" si="37">I32*3600/1000</f>
        <v>0</v>
      </c>
      <c r="K32" s="158">
        <f t="shared" ref="K32:K34" si="38">_xlfn.CEILING.MATH(J32*E32,10)</f>
        <v>0</v>
      </c>
      <c r="L32" s="290">
        <f>PortateAria!$AG$106</f>
        <v>1</v>
      </c>
      <c r="M32" s="155">
        <f t="shared" ref="M32:M34" si="39">K32/L32</f>
        <v>0</v>
      </c>
      <c r="N32" s="155">
        <f>PortateAria!T98</f>
        <v>310</v>
      </c>
    </row>
    <row r="33" spans="1:14">
      <c r="A33" s="94" t="str">
        <f>PortateAria!A99</f>
        <v>B002</v>
      </c>
      <c r="B33" s="94" t="str">
        <f>PortateAria!B99</f>
        <v>CHECK ROOM/AIRLOCK</v>
      </c>
      <c r="C33" s="364">
        <f>PortateAria!E99</f>
        <v>18</v>
      </c>
      <c r="D33" s="364">
        <f>PortateAria!F99</f>
        <v>48.6</v>
      </c>
      <c r="E33" s="291">
        <f>'Design Criteria'!W35</f>
        <v>1</v>
      </c>
      <c r="F33" s="156">
        <v>0.06</v>
      </c>
      <c r="G33" s="23">
        <v>60</v>
      </c>
      <c r="H33" s="38">
        <f t="shared" si="36"/>
        <v>1</v>
      </c>
      <c r="I33" s="23">
        <v>11</v>
      </c>
      <c r="J33" s="157">
        <f t="shared" si="37"/>
        <v>39.6</v>
      </c>
      <c r="K33" s="158">
        <f t="shared" si="38"/>
        <v>40</v>
      </c>
      <c r="L33" s="290">
        <f>PortateAria!$AG$106</f>
        <v>1</v>
      </c>
      <c r="M33" s="155">
        <f t="shared" si="39"/>
        <v>40</v>
      </c>
      <c r="N33" s="155">
        <f>PortateAria!T99</f>
        <v>670</v>
      </c>
    </row>
    <row r="34" spans="1:14">
      <c r="A34" s="94" t="str">
        <f>PortateAria!A100</f>
        <v>B003</v>
      </c>
      <c r="B34" s="94" t="str">
        <f>PortateAria!B100</f>
        <v>RECEIVING</v>
      </c>
      <c r="C34" s="364">
        <f>PortateAria!E100</f>
        <v>13</v>
      </c>
      <c r="D34" s="364">
        <f>PortateAria!F100</f>
        <v>35.1</v>
      </c>
      <c r="E34" s="291">
        <f>'Design Criteria'!W36</f>
        <v>0</v>
      </c>
      <c r="F34" s="156"/>
      <c r="G34" s="23">
        <v>60</v>
      </c>
      <c r="H34" s="38">
        <f t="shared" si="36"/>
        <v>0</v>
      </c>
      <c r="I34" s="23"/>
      <c r="J34" s="157">
        <f t="shared" si="37"/>
        <v>0</v>
      </c>
      <c r="K34" s="158">
        <f t="shared" si="38"/>
        <v>0</v>
      </c>
      <c r="L34" s="290">
        <f>PortateAria!$AG$106</f>
        <v>1</v>
      </c>
      <c r="M34" s="155">
        <f t="shared" si="39"/>
        <v>0</v>
      </c>
      <c r="N34" s="155">
        <f>PortateAria!T100</f>
        <v>300</v>
      </c>
    </row>
  </sheetData>
  <mergeCells count="14">
    <mergeCell ref="N1:N4"/>
    <mergeCell ref="M1:M4"/>
    <mergeCell ref="A1:A5"/>
    <mergeCell ref="B1:B5"/>
    <mergeCell ref="C1:C4"/>
    <mergeCell ref="D1:D4"/>
    <mergeCell ref="E1:E4"/>
    <mergeCell ref="F1:F5"/>
    <mergeCell ref="G1:G4"/>
    <mergeCell ref="H1:H4"/>
    <mergeCell ref="I1:I5"/>
    <mergeCell ref="J1:J4"/>
    <mergeCell ref="K1:K4"/>
    <mergeCell ref="L1:L4"/>
  </mergeCells>
  <conditionalFormatting sqref="E6:E30">
    <cfRule type="cellIs" dxfId="3" priority="3" operator="greaterThan">
      <formula>0</formula>
    </cfRule>
  </conditionalFormatting>
  <conditionalFormatting sqref="E32:E34">
    <cfRule type="cellIs" dxfId="2" priority="1" operator="greaterThan">
      <formula>0</formula>
    </cfRule>
  </conditionalFormatting>
  <conditionalFormatting sqref="N6:N23 N25:N30">
    <cfRule type="cellIs" dxfId="1" priority="12" operator="lessThan">
      <formula>M6</formula>
    </cfRule>
  </conditionalFormatting>
  <conditionalFormatting sqref="N32:N34">
    <cfRule type="cellIs" dxfId="0" priority="2" operator="lessThan">
      <formula>M32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T194"/>
  <sheetViews>
    <sheetView view="pageBreakPreview" topLeftCell="A155" zoomScaleNormal="100" zoomScaleSheetLayoutView="100" workbookViewId="0">
      <selection activeCell="E186" sqref="E186:E187"/>
    </sheetView>
  </sheetViews>
  <sheetFormatPr defaultRowHeight="13.2"/>
  <cols>
    <col min="1" max="1" width="25.33203125" customWidth="1"/>
    <col min="2" max="2" width="35.6640625" bestFit="1" customWidth="1"/>
    <col min="3" max="3" width="10.5546875" bestFit="1" customWidth="1"/>
    <col min="4" max="4" width="21.33203125" bestFit="1" customWidth="1"/>
    <col min="5" max="5" width="25.6640625" bestFit="1" customWidth="1"/>
    <col min="6" max="6" width="11.6640625" bestFit="1" customWidth="1"/>
    <col min="7" max="7" width="9.33203125" bestFit="1" customWidth="1"/>
    <col min="8" max="8" width="3.44140625" customWidth="1"/>
    <col min="9" max="17" width="7.109375" customWidth="1"/>
    <col min="18" max="18" width="5" customWidth="1"/>
    <col min="19" max="22" width="9.33203125" bestFit="1" customWidth="1"/>
  </cols>
  <sheetData>
    <row r="1" spans="1:7" ht="25.2" thickBot="1">
      <c r="A1" s="805" t="s">
        <v>64</v>
      </c>
      <c r="B1" s="806"/>
      <c r="C1" s="806"/>
      <c r="D1" s="806"/>
      <c r="E1" s="806"/>
      <c r="F1" s="806"/>
      <c r="G1" s="807"/>
    </row>
    <row r="2" spans="1:7" ht="15.6">
      <c r="A2" s="811" t="s">
        <v>66</v>
      </c>
      <c r="B2" s="812"/>
      <c r="C2" s="812"/>
      <c r="D2" s="812"/>
      <c r="E2" s="812"/>
      <c r="F2" s="812"/>
      <c r="G2" s="32"/>
    </row>
    <row r="3" spans="1:7" ht="15.6">
      <c r="A3" s="5"/>
      <c r="B3" s="3"/>
      <c r="C3" s="3"/>
      <c r="D3" s="3"/>
      <c r="E3" s="3"/>
      <c r="F3" s="3"/>
      <c r="G3" s="33"/>
    </row>
    <row r="4" spans="1:7" ht="15.6">
      <c r="A4" s="6"/>
      <c r="B4" s="7" t="s">
        <v>129</v>
      </c>
      <c r="C4" s="8"/>
      <c r="D4" s="9"/>
      <c r="E4" s="3"/>
      <c r="F4" s="3"/>
      <c r="G4" s="33"/>
    </row>
    <row r="5" spans="1:7">
      <c r="A5" s="6"/>
      <c r="B5" s="10" t="s">
        <v>60</v>
      </c>
      <c r="C5" s="17">
        <v>5.0999999999999996</v>
      </c>
      <c r="D5" s="11"/>
      <c r="E5" s="107"/>
      <c r="F5" s="3"/>
      <c r="G5" s="33"/>
    </row>
    <row r="6" spans="1:7">
      <c r="A6" s="6"/>
      <c r="B6" s="10" t="s">
        <v>59</v>
      </c>
      <c r="C6" s="17">
        <v>2E-3</v>
      </c>
      <c r="D6" s="11"/>
      <c r="E6" s="3"/>
      <c r="F6" s="3"/>
      <c r="G6" s="33"/>
    </row>
    <row r="7" spans="1:7">
      <c r="A7" s="6"/>
      <c r="B7" s="10" t="s">
        <v>61</v>
      </c>
      <c r="C7" s="17">
        <v>0.85</v>
      </c>
      <c r="D7" s="3"/>
      <c r="E7" s="3"/>
      <c r="F7" s="3"/>
      <c r="G7" s="33"/>
    </row>
    <row r="8" spans="1:7" ht="15.6">
      <c r="A8" s="6"/>
      <c r="B8" s="8" t="s">
        <v>6</v>
      </c>
      <c r="C8" s="18">
        <v>5</v>
      </c>
      <c r="D8" s="12" t="s">
        <v>63</v>
      </c>
      <c r="E8" s="13">
        <f>+ROUNDUP(C5*C6*C7*3600*SQRT(C8),0)</f>
        <v>70</v>
      </c>
      <c r="F8" s="29" t="s">
        <v>42</v>
      </c>
      <c r="G8" s="33"/>
    </row>
    <row r="9" spans="1:7" ht="15.6">
      <c r="A9" s="6"/>
      <c r="B9" s="3"/>
      <c r="C9" s="7"/>
      <c r="D9" s="8"/>
      <c r="E9" s="14"/>
      <c r="F9" s="30"/>
      <c r="G9" s="33"/>
    </row>
    <row r="10" spans="1:7" ht="15.6">
      <c r="A10" s="6"/>
      <c r="B10" s="7" t="s">
        <v>129</v>
      </c>
      <c r="C10" s="8"/>
      <c r="D10" s="9"/>
      <c r="E10" s="3"/>
      <c r="F10" s="3"/>
      <c r="G10" s="33"/>
    </row>
    <row r="11" spans="1:7">
      <c r="A11" s="6"/>
      <c r="B11" s="10" t="s">
        <v>60</v>
      </c>
      <c r="C11" s="17">
        <v>5.0999999999999996</v>
      </c>
      <c r="D11" s="11"/>
      <c r="E11" s="3"/>
      <c r="F11" s="3"/>
      <c r="G11" s="33"/>
    </row>
    <row r="12" spans="1:7">
      <c r="A12" s="6"/>
      <c r="B12" s="10" t="s">
        <v>59</v>
      </c>
      <c r="C12" s="17">
        <v>2E-3</v>
      </c>
      <c r="D12" s="11"/>
      <c r="E12" s="3"/>
      <c r="F12" s="3"/>
      <c r="G12" s="33"/>
    </row>
    <row r="13" spans="1:7">
      <c r="A13" s="6"/>
      <c r="B13" s="10" t="s">
        <v>61</v>
      </c>
      <c r="C13" s="17">
        <v>0.85</v>
      </c>
      <c r="D13" s="3"/>
      <c r="E13" s="3"/>
      <c r="F13" s="3"/>
      <c r="G13" s="33"/>
    </row>
    <row r="14" spans="1:7" ht="15.6">
      <c r="A14" s="6"/>
      <c r="B14" s="8" t="s">
        <v>6</v>
      </c>
      <c r="C14" s="18">
        <v>10</v>
      </c>
      <c r="D14" s="12" t="s">
        <v>63</v>
      </c>
      <c r="E14" s="13">
        <f>+ROUNDUP(C11*C12*C13*3600*SQRT(C14),0)</f>
        <v>99</v>
      </c>
      <c r="F14" s="29" t="s">
        <v>42</v>
      </c>
      <c r="G14" s="33"/>
    </row>
    <row r="15" spans="1:7" ht="15.6">
      <c r="A15" s="6"/>
      <c r="B15" s="3"/>
      <c r="C15" s="7"/>
      <c r="D15" s="8"/>
      <c r="E15" s="14"/>
      <c r="F15" s="30"/>
      <c r="G15" s="33"/>
    </row>
    <row r="16" spans="1:7" ht="15.6">
      <c r="A16" s="6"/>
      <c r="B16" s="7" t="s">
        <v>129</v>
      </c>
      <c r="C16" s="8"/>
      <c r="D16" s="9"/>
      <c r="E16" s="3"/>
      <c r="F16" s="3"/>
      <c r="G16" s="33"/>
    </row>
    <row r="17" spans="1:7">
      <c r="A17" s="6"/>
      <c r="B17" s="10" t="s">
        <v>60</v>
      </c>
      <c r="C17" s="17">
        <v>5.0999999999999996</v>
      </c>
      <c r="D17" s="11"/>
      <c r="E17" s="3"/>
      <c r="F17" s="3"/>
      <c r="G17" s="33"/>
    </row>
    <row r="18" spans="1:7">
      <c r="A18" s="6"/>
      <c r="B18" s="10" t="s">
        <v>59</v>
      </c>
      <c r="C18" s="17">
        <v>2E-3</v>
      </c>
      <c r="D18" s="11"/>
      <c r="E18" s="3"/>
      <c r="F18" s="3"/>
      <c r="G18" s="33"/>
    </row>
    <row r="19" spans="1:7">
      <c r="A19" s="6"/>
      <c r="B19" s="10" t="s">
        <v>61</v>
      </c>
      <c r="C19" s="17">
        <v>0.85</v>
      </c>
      <c r="D19" s="3"/>
      <c r="E19" s="3"/>
      <c r="F19" s="3"/>
      <c r="G19" s="33"/>
    </row>
    <row r="20" spans="1:7" ht="15.6">
      <c r="A20" s="6"/>
      <c r="B20" s="8" t="s">
        <v>6</v>
      </c>
      <c r="C20" s="18">
        <v>15</v>
      </c>
      <c r="D20" s="12" t="s">
        <v>63</v>
      </c>
      <c r="E20" s="13">
        <f>+ROUNDUP(C17*C18*C19*3600*SQRT(C20),0)</f>
        <v>121</v>
      </c>
      <c r="F20" s="29" t="s">
        <v>42</v>
      </c>
      <c r="G20" s="33"/>
    </row>
    <row r="21" spans="1:7" ht="15.6">
      <c r="A21" s="6"/>
      <c r="B21" s="3"/>
      <c r="C21" s="7"/>
      <c r="D21" s="8"/>
      <c r="E21" s="14"/>
      <c r="F21" s="30"/>
      <c r="G21" s="33"/>
    </row>
    <row r="22" spans="1:7" ht="15.6">
      <c r="A22" s="6"/>
      <c r="B22" s="7" t="s">
        <v>129</v>
      </c>
      <c r="C22" s="8"/>
      <c r="D22" s="9"/>
      <c r="E22" s="3"/>
      <c r="F22" s="3"/>
      <c r="G22" s="33"/>
    </row>
    <row r="23" spans="1:7">
      <c r="A23" s="6"/>
      <c r="B23" s="10" t="s">
        <v>60</v>
      </c>
      <c r="C23" s="17">
        <v>5.0999999999999996</v>
      </c>
      <c r="D23" s="11"/>
      <c r="E23" s="3"/>
      <c r="F23" s="3"/>
      <c r="G23" s="33"/>
    </row>
    <row r="24" spans="1:7">
      <c r="A24" s="6"/>
      <c r="B24" s="10" t="s">
        <v>59</v>
      </c>
      <c r="C24" s="17">
        <v>2E-3</v>
      </c>
      <c r="D24" s="11"/>
      <c r="E24" s="3"/>
      <c r="F24" s="3"/>
      <c r="G24" s="33"/>
    </row>
    <row r="25" spans="1:7">
      <c r="A25" s="6"/>
      <c r="B25" s="10" t="s">
        <v>61</v>
      </c>
      <c r="C25" s="17">
        <v>0.85</v>
      </c>
      <c r="D25" s="3"/>
      <c r="E25" s="3"/>
      <c r="F25" s="3"/>
      <c r="G25" s="33"/>
    </row>
    <row r="26" spans="1:7" ht="15.6">
      <c r="A26" s="6"/>
      <c r="B26" s="8" t="s">
        <v>6</v>
      </c>
      <c r="C26" s="18">
        <v>20</v>
      </c>
      <c r="D26" s="12" t="s">
        <v>63</v>
      </c>
      <c r="E26" s="13">
        <f>+ROUNDUP(C23*C24*C25*3600*SQRT(C26),0)</f>
        <v>140</v>
      </c>
      <c r="F26" s="29" t="s">
        <v>42</v>
      </c>
      <c r="G26" s="33"/>
    </row>
    <row r="27" spans="1:7" ht="15.6">
      <c r="A27" s="6"/>
      <c r="B27" s="3"/>
      <c r="C27" s="7"/>
      <c r="D27" s="8"/>
      <c r="E27" s="14"/>
      <c r="F27" s="30"/>
      <c r="G27" s="33"/>
    </row>
    <row r="28" spans="1:7" ht="15.6">
      <c r="A28" s="6"/>
      <c r="B28" s="7" t="s">
        <v>129</v>
      </c>
      <c r="C28" s="8"/>
      <c r="D28" s="9"/>
      <c r="E28" s="3"/>
      <c r="F28" s="3"/>
      <c r="G28" s="33"/>
    </row>
    <row r="29" spans="1:7">
      <c r="A29" s="6"/>
      <c r="B29" s="10" t="s">
        <v>60</v>
      </c>
      <c r="C29" s="17">
        <v>5.0999999999999996</v>
      </c>
      <c r="D29" s="11"/>
      <c r="E29" s="3"/>
      <c r="F29" s="3"/>
      <c r="G29" s="33"/>
    </row>
    <row r="30" spans="1:7">
      <c r="A30" s="6"/>
      <c r="B30" s="10" t="s">
        <v>59</v>
      </c>
      <c r="C30" s="17">
        <v>2E-3</v>
      </c>
      <c r="D30" s="11"/>
      <c r="E30" s="3"/>
      <c r="F30" s="3"/>
      <c r="G30" s="33"/>
    </row>
    <row r="31" spans="1:7">
      <c r="A31" s="6"/>
      <c r="B31" s="10" t="s">
        <v>61</v>
      </c>
      <c r="C31" s="17">
        <v>0.85</v>
      </c>
      <c r="D31" s="3"/>
      <c r="E31" s="3"/>
      <c r="F31" s="3"/>
      <c r="G31" s="33"/>
    </row>
    <row r="32" spans="1:7" ht="15.6">
      <c r="A32" s="6"/>
      <c r="B32" s="8" t="s">
        <v>6</v>
      </c>
      <c r="C32" s="18">
        <v>25</v>
      </c>
      <c r="D32" s="12" t="s">
        <v>63</v>
      </c>
      <c r="E32" s="13">
        <f>+ROUNDUP(C29*C30*C31*3600*SQRT(C32),0)</f>
        <v>157</v>
      </c>
      <c r="F32" s="29" t="s">
        <v>42</v>
      </c>
      <c r="G32" s="33"/>
    </row>
    <row r="33" spans="1:7" ht="15.6">
      <c r="A33" s="6"/>
      <c r="B33" s="3"/>
      <c r="C33" s="7"/>
      <c r="D33" s="8"/>
      <c r="E33" s="14"/>
      <c r="F33" s="30"/>
      <c r="G33" s="33"/>
    </row>
    <row r="34" spans="1:7" ht="15.6">
      <c r="A34" s="6"/>
      <c r="B34" s="7" t="s">
        <v>129</v>
      </c>
      <c r="C34" s="8"/>
      <c r="D34" s="9"/>
      <c r="E34" s="3"/>
      <c r="F34" s="3"/>
      <c r="G34" s="33"/>
    </row>
    <row r="35" spans="1:7">
      <c r="A35" s="6"/>
      <c r="B35" s="10" t="s">
        <v>60</v>
      </c>
      <c r="C35" s="17">
        <v>5.0999999999999996</v>
      </c>
      <c r="D35" s="11"/>
      <c r="E35" s="3"/>
      <c r="F35" s="3"/>
      <c r="G35" s="33"/>
    </row>
    <row r="36" spans="1:7">
      <c r="A36" s="6"/>
      <c r="B36" s="10" t="s">
        <v>59</v>
      </c>
      <c r="C36" s="17">
        <v>2E-3</v>
      </c>
      <c r="D36" s="11"/>
      <c r="E36" s="3"/>
      <c r="F36" s="3"/>
      <c r="G36" s="33"/>
    </row>
    <row r="37" spans="1:7">
      <c r="A37" s="6"/>
      <c r="B37" s="10" t="s">
        <v>61</v>
      </c>
      <c r="C37" s="17">
        <v>0.85</v>
      </c>
      <c r="D37" s="3"/>
      <c r="E37" s="3"/>
      <c r="F37" s="3"/>
      <c r="G37" s="33"/>
    </row>
    <row r="38" spans="1:7" ht="15.6">
      <c r="A38" s="6"/>
      <c r="B38" s="8" t="s">
        <v>6</v>
      </c>
      <c r="C38" s="18">
        <v>30</v>
      </c>
      <c r="D38" s="12" t="s">
        <v>63</v>
      </c>
      <c r="E38" s="13">
        <f>+ROUNDUP(C35*C36*C37*3600*SQRT(C38),0)</f>
        <v>171</v>
      </c>
      <c r="F38" s="29" t="s">
        <v>42</v>
      </c>
      <c r="G38" s="33"/>
    </row>
    <row r="39" spans="1:7" ht="16.2" thickBot="1">
      <c r="A39" s="15"/>
      <c r="B39" s="20"/>
      <c r="C39" s="19"/>
      <c r="D39" s="20"/>
      <c r="E39" s="21"/>
      <c r="F39" s="31"/>
      <c r="G39" s="34"/>
    </row>
    <row r="40" spans="1:7" ht="15.6">
      <c r="A40" s="803" t="s">
        <v>79</v>
      </c>
      <c r="B40" s="804"/>
      <c r="C40" s="804"/>
      <c r="D40" s="804"/>
      <c r="E40" s="804"/>
      <c r="F40" s="804"/>
      <c r="G40" s="32"/>
    </row>
    <row r="41" spans="1:7" ht="15.6">
      <c r="A41" s="5"/>
      <c r="B41" s="3"/>
      <c r="C41" s="3"/>
      <c r="D41" s="3"/>
      <c r="E41" s="3"/>
      <c r="F41" s="3"/>
      <c r="G41" s="33"/>
    </row>
    <row r="42" spans="1:7" ht="15.6">
      <c r="A42" s="6"/>
      <c r="B42" s="7" t="s">
        <v>130</v>
      </c>
      <c r="C42" s="8"/>
      <c r="D42" s="9"/>
      <c r="E42" s="3"/>
      <c r="F42" s="3"/>
      <c r="G42" s="33"/>
    </row>
    <row r="43" spans="1:7">
      <c r="A43" s="6"/>
      <c r="B43" s="10" t="s">
        <v>60</v>
      </c>
      <c r="C43" s="17">
        <v>5.8</v>
      </c>
      <c r="D43" s="11"/>
      <c r="E43" s="3"/>
      <c r="F43" s="3"/>
      <c r="G43" s="33"/>
    </row>
    <row r="44" spans="1:7">
      <c r="A44" s="6"/>
      <c r="B44" s="10" t="s">
        <v>59</v>
      </c>
      <c r="C44" s="17">
        <v>2E-3</v>
      </c>
      <c r="D44" s="11"/>
      <c r="E44" s="3"/>
      <c r="F44" s="3"/>
      <c r="G44" s="33"/>
    </row>
    <row r="45" spans="1:7">
      <c r="A45" s="6"/>
      <c r="B45" s="10" t="s">
        <v>61</v>
      </c>
      <c r="C45" s="17">
        <v>0.85</v>
      </c>
      <c r="D45" s="3"/>
      <c r="E45" s="3"/>
      <c r="F45" s="3"/>
      <c r="G45" s="33"/>
    </row>
    <row r="46" spans="1:7" ht="15.6">
      <c r="A46" s="6"/>
      <c r="B46" s="8" t="s">
        <v>6</v>
      </c>
      <c r="C46" s="18">
        <v>5</v>
      </c>
      <c r="D46" s="12" t="s">
        <v>63</v>
      </c>
      <c r="E46" s="13">
        <f>+ROUNDUP(C43*C44*C45*3600*SQRT(C46),0)</f>
        <v>80</v>
      </c>
      <c r="F46" s="29" t="s">
        <v>42</v>
      </c>
      <c r="G46" s="33"/>
    </row>
    <row r="47" spans="1:7" ht="15.6">
      <c r="A47" s="6"/>
      <c r="B47" s="3"/>
      <c r="C47" s="7"/>
      <c r="D47" s="8"/>
      <c r="E47" s="14"/>
      <c r="F47" s="30"/>
      <c r="G47" s="33"/>
    </row>
    <row r="48" spans="1:7" ht="15.6">
      <c r="A48" s="6"/>
      <c r="B48" s="7" t="s">
        <v>130</v>
      </c>
      <c r="C48" s="8"/>
      <c r="D48" s="9"/>
      <c r="E48" s="3"/>
      <c r="F48" s="3"/>
      <c r="G48" s="33"/>
    </row>
    <row r="49" spans="1:7">
      <c r="A49" s="6"/>
      <c r="B49" s="10" t="s">
        <v>60</v>
      </c>
      <c r="C49" s="17">
        <v>5.8</v>
      </c>
      <c r="D49" s="11"/>
      <c r="E49" s="3"/>
      <c r="F49" s="3"/>
      <c r="G49" s="33"/>
    </row>
    <row r="50" spans="1:7">
      <c r="A50" s="6"/>
      <c r="B50" s="10" t="s">
        <v>59</v>
      </c>
      <c r="C50" s="17">
        <v>2E-3</v>
      </c>
      <c r="D50" s="11"/>
      <c r="E50" s="3"/>
      <c r="F50" s="3"/>
      <c r="G50" s="33"/>
    </row>
    <row r="51" spans="1:7">
      <c r="A51" s="6"/>
      <c r="B51" s="10" t="s">
        <v>61</v>
      </c>
      <c r="C51" s="17">
        <v>0.85</v>
      </c>
      <c r="D51" s="3"/>
      <c r="E51" s="3"/>
      <c r="F51" s="3"/>
      <c r="G51" s="33"/>
    </row>
    <row r="52" spans="1:7" ht="15.6">
      <c r="A52" s="6"/>
      <c r="B52" s="8" t="s">
        <v>6</v>
      </c>
      <c r="C52" s="18">
        <v>10</v>
      </c>
      <c r="D52" s="12" t="s">
        <v>63</v>
      </c>
      <c r="E52" s="13">
        <f>+ROUNDUP(C49*C50*C51*3600*SQRT(C52),0)</f>
        <v>113</v>
      </c>
      <c r="F52" s="29" t="s">
        <v>42</v>
      </c>
      <c r="G52" s="33"/>
    </row>
    <row r="53" spans="1:7" ht="15.6">
      <c r="A53" s="6"/>
      <c r="B53" s="3"/>
      <c r="C53" s="7"/>
      <c r="D53" s="8"/>
      <c r="E53" s="14"/>
      <c r="F53" s="30"/>
      <c r="G53" s="33"/>
    </row>
    <row r="54" spans="1:7" ht="15.6">
      <c r="A54" s="6"/>
      <c r="B54" s="7" t="s">
        <v>130</v>
      </c>
      <c r="C54" s="8"/>
      <c r="D54" s="9"/>
      <c r="E54" s="3"/>
      <c r="F54" s="3"/>
      <c r="G54" s="33"/>
    </row>
    <row r="55" spans="1:7">
      <c r="A55" s="6"/>
      <c r="B55" s="10" t="s">
        <v>60</v>
      </c>
      <c r="C55" s="17">
        <v>5.8</v>
      </c>
      <c r="D55" s="11"/>
      <c r="E55" s="3"/>
      <c r="F55" s="3"/>
      <c r="G55" s="33"/>
    </row>
    <row r="56" spans="1:7">
      <c r="A56" s="6"/>
      <c r="B56" s="10" t="s">
        <v>59</v>
      </c>
      <c r="C56" s="17">
        <v>2E-3</v>
      </c>
      <c r="D56" s="11"/>
      <c r="E56" s="3"/>
      <c r="F56" s="3"/>
      <c r="G56" s="33"/>
    </row>
    <row r="57" spans="1:7">
      <c r="A57" s="6"/>
      <c r="B57" s="10" t="s">
        <v>61</v>
      </c>
      <c r="C57" s="17">
        <v>0.85</v>
      </c>
      <c r="D57" s="3"/>
      <c r="E57" s="3"/>
      <c r="F57" s="3"/>
      <c r="G57" s="33"/>
    </row>
    <row r="58" spans="1:7" ht="15.6">
      <c r="A58" s="6"/>
      <c r="B58" s="8" t="s">
        <v>6</v>
      </c>
      <c r="C58" s="18">
        <v>15</v>
      </c>
      <c r="D58" s="12" t="s">
        <v>63</v>
      </c>
      <c r="E58" s="13">
        <f>+ROUNDUP(C55*C56*C57*3600*SQRT(C58),0)</f>
        <v>138</v>
      </c>
      <c r="F58" s="29" t="s">
        <v>42</v>
      </c>
      <c r="G58" s="33"/>
    </row>
    <row r="59" spans="1:7" ht="15.6">
      <c r="A59" s="6"/>
      <c r="B59" s="3"/>
      <c r="C59" s="7"/>
      <c r="D59" s="8"/>
      <c r="E59" s="14"/>
      <c r="F59" s="30"/>
      <c r="G59" s="33"/>
    </row>
    <row r="60" spans="1:7" ht="15.6">
      <c r="A60" s="6"/>
      <c r="B60" s="7" t="s">
        <v>130</v>
      </c>
      <c r="C60" s="8"/>
      <c r="D60" s="9"/>
      <c r="E60" s="3"/>
      <c r="F60" s="3"/>
      <c r="G60" s="33"/>
    </row>
    <row r="61" spans="1:7">
      <c r="A61" s="6"/>
      <c r="B61" s="10" t="s">
        <v>60</v>
      </c>
      <c r="C61" s="17">
        <v>5.8</v>
      </c>
      <c r="D61" s="11"/>
      <c r="E61" s="3"/>
      <c r="F61" s="3"/>
      <c r="G61" s="33"/>
    </row>
    <row r="62" spans="1:7">
      <c r="A62" s="6"/>
      <c r="B62" s="10" t="s">
        <v>59</v>
      </c>
      <c r="C62" s="17">
        <v>2E-3</v>
      </c>
      <c r="D62" s="11"/>
      <c r="E62" s="3"/>
      <c r="F62" s="3"/>
      <c r="G62" s="33"/>
    </row>
    <row r="63" spans="1:7">
      <c r="A63" s="6"/>
      <c r="B63" s="10" t="s">
        <v>61</v>
      </c>
      <c r="C63" s="17">
        <v>0.85</v>
      </c>
      <c r="D63" s="3"/>
      <c r="E63" s="3"/>
      <c r="F63" s="3"/>
      <c r="G63" s="33"/>
    </row>
    <row r="64" spans="1:7" ht="15.6">
      <c r="A64" s="6"/>
      <c r="B64" s="8" t="s">
        <v>6</v>
      </c>
      <c r="C64" s="18">
        <v>20</v>
      </c>
      <c r="D64" s="12" t="s">
        <v>63</v>
      </c>
      <c r="E64" s="13">
        <f>+ROUNDUP(C61*C62*C63*3600*SQRT(C64),0)</f>
        <v>159</v>
      </c>
      <c r="F64" s="29" t="s">
        <v>42</v>
      </c>
      <c r="G64" s="33"/>
    </row>
    <row r="65" spans="1:7" ht="15.6">
      <c r="A65" s="5"/>
      <c r="B65" s="3"/>
      <c r="C65" s="3"/>
      <c r="D65" s="3"/>
      <c r="E65" s="3"/>
      <c r="F65" s="3"/>
      <c r="G65" s="33"/>
    </row>
    <row r="66" spans="1:7" ht="15.6">
      <c r="A66" s="6"/>
      <c r="B66" s="7" t="s">
        <v>130</v>
      </c>
      <c r="C66" s="8"/>
      <c r="D66" s="9"/>
      <c r="E66" s="3"/>
      <c r="F66" s="3"/>
      <c r="G66" s="33"/>
    </row>
    <row r="67" spans="1:7">
      <c r="A67" s="6"/>
      <c r="B67" s="10" t="s">
        <v>60</v>
      </c>
      <c r="C67" s="17">
        <v>5.8</v>
      </c>
      <c r="D67" s="11"/>
      <c r="E67" s="3"/>
      <c r="F67" s="3"/>
      <c r="G67" s="33"/>
    </row>
    <row r="68" spans="1:7">
      <c r="A68" s="6"/>
      <c r="B68" s="10" t="s">
        <v>59</v>
      </c>
      <c r="C68" s="17">
        <v>2E-3</v>
      </c>
      <c r="D68" s="11"/>
      <c r="E68" s="3"/>
      <c r="F68" s="3"/>
      <c r="G68" s="33"/>
    </row>
    <row r="69" spans="1:7">
      <c r="A69" s="6"/>
      <c r="B69" s="10" t="s">
        <v>61</v>
      </c>
      <c r="C69" s="17">
        <v>0.85</v>
      </c>
      <c r="D69" s="3"/>
      <c r="E69" s="3"/>
      <c r="F69" s="3"/>
      <c r="G69" s="33"/>
    </row>
    <row r="70" spans="1:7" ht="15.6">
      <c r="A70" s="6"/>
      <c r="B70" s="8" t="s">
        <v>6</v>
      </c>
      <c r="C70" s="18">
        <v>25</v>
      </c>
      <c r="D70" s="12" t="s">
        <v>63</v>
      </c>
      <c r="E70" s="13">
        <f>+ROUNDUP(C67*C68*C69*3600*SQRT(C70),0)</f>
        <v>178</v>
      </c>
      <c r="F70" s="29" t="s">
        <v>42</v>
      </c>
      <c r="G70" s="33"/>
    </row>
    <row r="71" spans="1:7" ht="15.6">
      <c r="A71" s="5"/>
      <c r="B71" s="3"/>
      <c r="C71" s="3"/>
      <c r="D71" s="3"/>
      <c r="E71" s="3"/>
      <c r="F71" s="3"/>
      <c r="G71" s="33"/>
    </row>
    <row r="72" spans="1:7" ht="15.6">
      <c r="A72" s="6"/>
      <c r="B72" s="7" t="s">
        <v>130</v>
      </c>
      <c r="C72" s="8"/>
      <c r="D72" s="9"/>
      <c r="E72" s="3"/>
      <c r="F72" s="3"/>
      <c r="G72" s="33"/>
    </row>
    <row r="73" spans="1:7">
      <c r="A73" s="6"/>
      <c r="B73" s="10" t="s">
        <v>60</v>
      </c>
      <c r="C73" s="17">
        <v>5.8</v>
      </c>
      <c r="D73" s="11"/>
      <c r="E73" s="3"/>
      <c r="F73" s="3"/>
      <c r="G73" s="33"/>
    </row>
    <row r="74" spans="1:7">
      <c r="A74" s="6"/>
      <c r="B74" s="10" t="s">
        <v>59</v>
      </c>
      <c r="C74" s="17">
        <v>2E-3</v>
      </c>
      <c r="D74" s="11"/>
      <c r="E74" s="3"/>
      <c r="F74" s="3"/>
      <c r="G74" s="33"/>
    </row>
    <row r="75" spans="1:7">
      <c r="A75" s="6"/>
      <c r="B75" s="10" t="s">
        <v>61</v>
      </c>
      <c r="C75" s="17">
        <v>0.85</v>
      </c>
      <c r="D75" s="3"/>
      <c r="E75" s="3"/>
      <c r="F75" s="3"/>
      <c r="G75" s="33"/>
    </row>
    <row r="76" spans="1:7" ht="15.6">
      <c r="A76" s="6"/>
      <c r="B76" s="8" t="s">
        <v>6</v>
      </c>
      <c r="C76" s="18">
        <v>30</v>
      </c>
      <c r="D76" s="12" t="s">
        <v>63</v>
      </c>
      <c r="E76" s="13">
        <f>+ROUNDUP(C73*C74*C75*3600*SQRT(C76),0)</f>
        <v>195</v>
      </c>
      <c r="F76" s="29" t="s">
        <v>42</v>
      </c>
      <c r="G76" s="33"/>
    </row>
    <row r="77" spans="1:7" ht="17.25" customHeight="1" thickBot="1">
      <c r="A77" s="15"/>
      <c r="B77" s="16"/>
      <c r="C77" s="16"/>
      <c r="D77" s="16"/>
      <c r="E77" s="16"/>
      <c r="F77" s="16"/>
      <c r="G77" s="34"/>
    </row>
    <row r="78" spans="1:7" ht="15.6">
      <c r="A78" s="803" t="s">
        <v>80</v>
      </c>
      <c r="B78" s="804"/>
      <c r="C78" s="804"/>
      <c r="D78" s="804"/>
      <c r="E78" s="804"/>
      <c r="F78" s="804"/>
      <c r="G78" s="32"/>
    </row>
    <row r="79" spans="1:7" ht="15.6">
      <c r="A79" s="5"/>
      <c r="B79" s="3"/>
      <c r="C79" s="3"/>
      <c r="D79" s="3"/>
      <c r="E79" s="3"/>
      <c r="F79" s="3"/>
      <c r="G79" s="33"/>
    </row>
    <row r="80" spans="1:7" ht="15.6">
      <c r="A80" s="6"/>
      <c r="B80" s="7" t="s">
        <v>62</v>
      </c>
      <c r="C80" s="8"/>
      <c r="D80" s="9"/>
      <c r="E80" s="3"/>
      <c r="F80" s="3"/>
      <c r="G80" s="33"/>
    </row>
    <row r="81" spans="1:7">
      <c r="A81" s="6"/>
      <c r="B81" s="10" t="s">
        <v>60</v>
      </c>
      <c r="C81" s="17">
        <v>5.7</v>
      </c>
      <c r="D81" s="11"/>
      <c r="E81" s="3"/>
      <c r="F81" s="3"/>
      <c r="G81" s="33"/>
    </row>
    <row r="82" spans="1:7">
      <c r="A82" s="6"/>
      <c r="B82" s="10" t="s">
        <v>59</v>
      </c>
      <c r="C82" s="17">
        <v>2E-3</v>
      </c>
      <c r="D82" s="11"/>
      <c r="E82" s="3"/>
      <c r="F82" s="3"/>
      <c r="G82" s="33"/>
    </row>
    <row r="83" spans="1:7">
      <c r="A83" s="6"/>
      <c r="B83" s="10" t="s">
        <v>61</v>
      </c>
      <c r="C83" s="17">
        <v>0.85</v>
      </c>
      <c r="D83" s="3"/>
      <c r="E83" s="3"/>
      <c r="F83" s="3"/>
      <c r="G83" s="33"/>
    </row>
    <row r="84" spans="1:7" ht="15.6">
      <c r="A84" s="6"/>
      <c r="B84" s="8" t="s">
        <v>6</v>
      </c>
      <c r="C84" s="18">
        <v>5</v>
      </c>
      <c r="D84" s="12" t="s">
        <v>63</v>
      </c>
      <c r="E84" s="13">
        <f>+ROUNDUP(C81*C82*C83*3600*SQRT(C84),0)</f>
        <v>79</v>
      </c>
      <c r="F84" s="29" t="s">
        <v>42</v>
      </c>
      <c r="G84" s="33"/>
    </row>
    <row r="85" spans="1:7" ht="15.6">
      <c r="A85" s="6"/>
      <c r="B85" s="3"/>
      <c r="C85" s="7"/>
      <c r="D85" s="8"/>
      <c r="E85" s="14"/>
      <c r="F85" s="30"/>
      <c r="G85" s="33"/>
    </row>
    <row r="86" spans="1:7" ht="15.6">
      <c r="A86" s="6"/>
      <c r="B86" s="7" t="s">
        <v>62</v>
      </c>
      <c r="C86" s="8"/>
      <c r="D86" s="9"/>
      <c r="E86" s="3"/>
      <c r="F86" s="3"/>
      <c r="G86" s="33"/>
    </row>
    <row r="87" spans="1:7">
      <c r="A87" s="6"/>
      <c r="B87" s="10" t="s">
        <v>60</v>
      </c>
      <c r="C87" s="17">
        <v>5.7</v>
      </c>
      <c r="D87" s="11"/>
      <c r="E87" s="3"/>
      <c r="F87" s="3"/>
      <c r="G87" s="33"/>
    </row>
    <row r="88" spans="1:7">
      <c r="A88" s="6"/>
      <c r="B88" s="10" t="s">
        <v>59</v>
      </c>
      <c r="C88" s="17">
        <v>2E-3</v>
      </c>
      <c r="D88" s="11"/>
      <c r="E88" s="3"/>
      <c r="F88" s="3"/>
      <c r="G88" s="33"/>
    </row>
    <row r="89" spans="1:7">
      <c r="A89" s="6"/>
      <c r="B89" s="10" t="s">
        <v>61</v>
      </c>
      <c r="C89" s="17">
        <v>0.85</v>
      </c>
      <c r="D89" s="3"/>
      <c r="E89" s="3"/>
      <c r="F89" s="3"/>
      <c r="G89" s="33"/>
    </row>
    <row r="90" spans="1:7" ht="15.6">
      <c r="A90" s="6"/>
      <c r="B90" s="8" t="s">
        <v>6</v>
      </c>
      <c r="C90" s="18">
        <v>10</v>
      </c>
      <c r="D90" s="12" t="s">
        <v>63</v>
      </c>
      <c r="E90" s="13">
        <f>+ROUNDUP(C87*C88*C89*3600*SQRT(C90),0)</f>
        <v>111</v>
      </c>
      <c r="F90" s="29" t="s">
        <v>42</v>
      </c>
      <c r="G90" s="33"/>
    </row>
    <row r="91" spans="1:7" ht="15.6">
      <c r="A91" s="6"/>
      <c r="B91" s="3"/>
      <c r="C91" s="7"/>
      <c r="D91" s="8"/>
      <c r="E91" s="14"/>
      <c r="F91" s="30"/>
      <c r="G91" s="33"/>
    </row>
    <row r="92" spans="1:7" ht="15.6">
      <c r="A92" s="6"/>
      <c r="B92" s="7" t="s">
        <v>62</v>
      </c>
      <c r="C92" s="8"/>
      <c r="D92" s="9"/>
      <c r="E92" s="3"/>
      <c r="F92" s="3"/>
      <c r="G92" s="33"/>
    </row>
    <row r="93" spans="1:7">
      <c r="A93" s="6"/>
      <c r="B93" s="10" t="s">
        <v>60</v>
      </c>
      <c r="C93" s="17">
        <v>5.7</v>
      </c>
      <c r="D93" s="11"/>
      <c r="E93" s="3"/>
      <c r="F93" s="3"/>
      <c r="G93" s="33"/>
    </row>
    <row r="94" spans="1:7">
      <c r="A94" s="6"/>
      <c r="B94" s="10" t="s">
        <v>59</v>
      </c>
      <c r="C94" s="17">
        <v>2E-3</v>
      </c>
      <c r="D94" s="11"/>
      <c r="E94" s="3"/>
      <c r="F94" s="3"/>
      <c r="G94" s="33"/>
    </row>
    <row r="95" spans="1:7">
      <c r="A95" s="6"/>
      <c r="B95" s="10" t="s">
        <v>61</v>
      </c>
      <c r="C95" s="17">
        <v>0.85</v>
      </c>
      <c r="D95" s="3"/>
      <c r="E95" s="3"/>
      <c r="F95" s="3"/>
      <c r="G95" s="33"/>
    </row>
    <row r="96" spans="1:7" ht="15.6">
      <c r="A96" s="6"/>
      <c r="B96" s="8" t="s">
        <v>6</v>
      </c>
      <c r="C96" s="18">
        <v>15</v>
      </c>
      <c r="D96" s="12" t="s">
        <v>63</v>
      </c>
      <c r="E96" s="13">
        <f>+ROUNDUP(C93*C94*C95*3600*SQRT(C96),0)</f>
        <v>136</v>
      </c>
      <c r="F96" s="29" t="s">
        <v>42</v>
      </c>
      <c r="G96" s="33"/>
    </row>
    <row r="97" spans="1:7" ht="15.6">
      <c r="A97" s="6"/>
      <c r="B97" s="3"/>
      <c r="C97" s="7"/>
      <c r="D97" s="8"/>
      <c r="E97" s="14"/>
      <c r="F97" s="30"/>
      <c r="G97" s="33"/>
    </row>
    <row r="98" spans="1:7" ht="15.6">
      <c r="A98" s="6"/>
      <c r="B98" s="7" t="s">
        <v>62</v>
      </c>
      <c r="C98" s="8"/>
      <c r="D98" s="9"/>
      <c r="E98" s="3"/>
      <c r="F98" s="3"/>
      <c r="G98" s="33"/>
    </row>
    <row r="99" spans="1:7">
      <c r="A99" s="6"/>
      <c r="B99" s="10" t="s">
        <v>60</v>
      </c>
      <c r="C99" s="17">
        <v>5.7</v>
      </c>
      <c r="D99" s="11"/>
      <c r="E99" s="3"/>
      <c r="F99" s="3"/>
      <c r="G99" s="33"/>
    </row>
    <row r="100" spans="1:7">
      <c r="A100" s="6"/>
      <c r="B100" s="10" t="s">
        <v>59</v>
      </c>
      <c r="C100" s="17">
        <v>2E-3</v>
      </c>
      <c r="D100" s="11"/>
      <c r="E100" s="3"/>
      <c r="F100" s="3"/>
      <c r="G100" s="33"/>
    </row>
    <row r="101" spans="1:7">
      <c r="A101" s="6"/>
      <c r="B101" s="10" t="s">
        <v>61</v>
      </c>
      <c r="C101" s="17">
        <v>0.85</v>
      </c>
      <c r="D101" s="3"/>
      <c r="E101" s="3"/>
      <c r="F101" s="3"/>
      <c r="G101" s="33"/>
    </row>
    <row r="102" spans="1:7" ht="15.6">
      <c r="A102" s="6"/>
      <c r="B102" s="8" t="s">
        <v>6</v>
      </c>
      <c r="C102" s="18">
        <v>20</v>
      </c>
      <c r="D102" s="12" t="s">
        <v>63</v>
      </c>
      <c r="E102" s="13">
        <f>+ROUNDUP(C99*C100*C101*3600*SQRT(C102),0)</f>
        <v>157</v>
      </c>
      <c r="F102" s="29" t="s">
        <v>42</v>
      </c>
      <c r="G102" s="33"/>
    </row>
    <row r="103" spans="1:7" ht="17.25" customHeight="1">
      <c r="A103" s="6"/>
      <c r="B103" s="3"/>
      <c r="C103" s="3"/>
      <c r="D103" s="3"/>
      <c r="E103" s="3"/>
      <c r="F103" s="3"/>
      <c r="G103" s="33"/>
    </row>
    <row r="104" spans="1:7" ht="17.25" customHeight="1">
      <c r="A104" s="6"/>
      <c r="B104" s="7" t="s">
        <v>62</v>
      </c>
      <c r="C104" s="8"/>
      <c r="D104" s="9"/>
      <c r="E104" s="3"/>
      <c r="F104" s="3"/>
      <c r="G104" s="33"/>
    </row>
    <row r="105" spans="1:7" ht="17.25" customHeight="1">
      <c r="A105" s="6"/>
      <c r="B105" s="10" t="s">
        <v>60</v>
      </c>
      <c r="C105" s="17">
        <v>5.7</v>
      </c>
      <c r="D105" s="11"/>
      <c r="E105" s="3"/>
      <c r="F105" s="3"/>
      <c r="G105" s="33"/>
    </row>
    <row r="106" spans="1:7" ht="17.25" customHeight="1">
      <c r="A106" s="6"/>
      <c r="B106" s="10" t="s">
        <v>59</v>
      </c>
      <c r="C106" s="17">
        <v>2E-3</v>
      </c>
      <c r="D106" s="11"/>
      <c r="E106" s="3"/>
      <c r="F106" s="3"/>
      <c r="G106" s="33"/>
    </row>
    <row r="107" spans="1:7" ht="17.25" customHeight="1">
      <c r="A107" s="6"/>
      <c r="B107" s="10" t="s">
        <v>61</v>
      </c>
      <c r="C107" s="17">
        <v>0.85</v>
      </c>
      <c r="D107" s="3"/>
      <c r="E107" s="3"/>
      <c r="F107" s="3"/>
      <c r="G107" s="33"/>
    </row>
    <row r="108" spans="1:7" ht="17.25" customHeight="1">
      <c r="A108" s="6"/>
      <c r="B108" s="8" t="s">
        <v>6</v>
      </c>
      <c r="C108" s="18">
        <v>25</v>
      </c>
      <c r="D108" s="12" t="s">
        <v>63</v>
      </c>
      <c r="E108" s="13">
        <f>+ROUNDUP(C105*C106*C107*3600*SQRT(C108),0)</f>
        <v>175</v>
      </c>
      <c r="F108" s="29" t="s">
        <v>42</v>
      </c>
      <c r="G108" s="33"/>
    </row>
    <row r="109" spans="1:7" ht="17.25" customHeight="1">
      <c r="A109" s="6"/>
      <c r="B109" s="3"/>
      <c r="C109" s="3"/>
      <c r="D109" s="3"/>
      <c r="E109" s="3"/>
      <c r="F109" s="3"/>
      <c r="G109" s="33"/>
    </row>
    <row r="110" spans="1:7" ht="17.25" customHeight="1">
      <c r="A110" s="6"/>
      <c r="B110" s="7" t="s">
        <v>62</v>
      </c>
      <c r="C110" s="8"/>
      <c r="D110" s="9"/>
      <c r="E110" s="3"/>
      <c r="F110" s="3"/>
      <c r="G110" s="33"/>
    </row>
    <row r="111" spans="1:7" ht="17.25" customHeight="1">
      <c r="A111" s="6"/>
      <c r="B111" s="10" t="s">
        <v>60</v>
      </c>
      <c r="C111" s="17">
        <v>5.7</v>
      </c>
      <c r="D111" s="11"/>
      <c r="E111" s="3"/>
      <c r="F111" s="3"/>
      <c r="G111" s="33"/>
    </row>
    <row r="112" spans="1:7" ht="17.25" customHeight="1">
      <c r="A112" s="6"/>
      <c r="B112" s="10" t="s">
        <v>59</v>
      </c>
      <c r="C112" s="17">
        <v>2E-3</v>
      </c>
      <c r="D112" s="11"/>
      <c r="E112" s="3"/>
      <c r="F112" s="3"/>
      <c r="G112" s="33"/>
    </row>
    <row r="113" spans="1:7" ht="17.25" customHeight="1">
      <c r="A113" s="6"/>
      <c r="B113" s="10" t="s">
        <v>61</v>
      </c>
      <c r="C113" s="17">
        <v>0.85</v>
      </c>
      <c r="D113" s="3"/>
      <c r="E113" s="3"/>
      <c r="F113" s="3"/>
      <c r="G113" s="33"/>
    </row>
    <row r="114" spans="1:7" ht="17.25" customHeight="1">
      <c r="A114" s="6"/>
      <c r="B114" s="8" t="s">
        <v>6</v>
      </c>
      <c r="C114" s="18">
        <v>30</v>
      </c>
      <c r="D114" s="12" t="s">
        <v>63</v>
      </c>
      <c r="E114" s="13">
        <f>+ROUNDUP(C111*C112*C113*3600*SQRT(C114),0)</f>
        <v>192</v>
      </c>
      <c r="F114" s="29" t="s">
        <v>42</v>
      </c>
      <c r="G114" s="33"/>
    </row>
    <row r="115" spans="1:7" ht="17.25" customHeight="1" thickBot="1">
      <c r="A115" s="15"/>
      <c r="B115" s="16"/>
      <c r="C115" s="16"/>
      <c r="D115" s="16"/>
      <c r="E115" s="16"/>
      <c r="F115" s="16"/>
      <c r="G115" s="34"/>
    </row>
    <row r="116" spans="1:7" ht="15.6">
      <c r="A116" s="803" t="s">
        <v>81</v>
      </c>
      <c r="B116" s="804"/>
      <c r="C116" s="804"/>
      <c r="D116" s="804"/>
      <c r="E116" s="804"/>
      <c r="F116" s="804"/>
      <c r="G116" s="32"/>
    </row>
    <row r="117" spans="1:7" ht="15.6">
      <c r="A117" s="5"/>
      <c r="B117" s="3"/>
      <c r="C117" s="3"/>
      <c r="D117" s="3"/>
      <c r="E117" s="3"/>
      <c r="F117" s="3"/>
      <c r="G117" s="33"/>
    </row>
    <row r="118" spans="1:7" ht="15.6">
      <c r="A118" s="6"/>
      <c r="B118" s="7" t="s">
        <v>82</v>
      </c>
      <c r="C118" s="8"/>
      <c r="D118" s="9"/>
      <c r="E118" s="3"/>
      <c r="F118" s="3"/>
      <c r="G118" s="33"/>
    </row>
    <row r="119" spans="1:7">
      <c r="A119" s="6"/>
      <c r="B119" s="10" t="s">
        <v>60</v>
      </c>
      <c r="C119" s="17">
        <v>2.1</v>
      </c>
      <c r="D119" s="11"/>
      <c r="E119" s="3"/>
      <c r="F119" s="3"/>
      <c r="G119" s="33"/>
    </row>
    <row r="120" spans="1:7">
      <c r="A120" s="6"/>
      <c r="B120" s="10" t="s">
        <v>59</v>
      </c>
      <c r="C120" s="17">
        <v>2E-3</v>
      </c>
      <c r="D120" s="11"/>
      <c r="E120" s="3"/>
      <c r="F120" s="3"/>
      <c r="G120" s="33"/>
    </row>
    <row r="121" spans="1:7">
      <c r="A121" s="6"/>
      <c r="B121" s="10" t="s">
        <v>61</v>
      </c>
      <c r="C121" s="17">
        <v>0.85</v>
      </c>
      <c r="D121" s="3"/>
      <c r="E121" s="3"/>
      <c r="F121" s="3"/>
      <c r="G121" s="33"/>
    </row>
    <row r="122" spans="1:7" ht="15.6">
      <c r="A122" s="6"/>
      <c r="B122" s="8" t="s">
        <v>6</v>
      </c>
      <c r="C122" s="18">
        <v>5</v>
      </c>
      <c r="D122" s="12" t="s">
        <v>63</v>
      </c>
      <c r="E122" s="13">
        <f>+ROUNDUP(C119*C120*C121*3600*SQRT(C122),0)</f>
        <v>29</v>
      </c>
      <c r="F122" s="29" t="s">
        <v>42</v>
      </c>
      <c r="G122" s="33"/>
    </row>
    <row r="123" spans="1:7" ht="15.6">
      <c r="A123" s="6"/>
      <c r="B123" s="3"/>
      <c r="C123" s="7"/>
      <c r="D123" s="8"/>
      <c r="E123" s="14"/>
      <c r="F123" s="30"/>
      <c r="G123" s="33"/>
    </row>
    <row r="124" spans="1:7" ht="15.6">
      <c r="A124" s="6"/>
      <c r="B124" s="7" t="s">
        <v>82</v>
      </c>
      <c r="C124" s="8"/>
      <c r="D124" s="9"/>
      <c r="E124" s="3"/>
      <c r="F124" s="3"/>
      <c r="G124" s="33"/>
    </row>
    <row r="125" spans="1:7">
      <c r="A125" s="6"/>
      <c r="B125" s="10" t="s">
        <v>60</v>
      </c>
      <c r="C125" s="17">
        <v>2.1</v>
      </c>
      <c r="D125" s="11"/>
      <c r="E125" s="3"/>
      <c r="F125" s="3"/>
      <c r="G125" s="33"/>
    </row>
    <row r="126" spans="1:7">
      <c r="A126" s="6"/>
      <c r="B126" s="10" t="s">
        <v>59</v>
      </c>
      <c r="C126" s="17">
        <v>2E-3</v>
      </c>
      <c r="D126" s="11"/>
      <c r="E126" s="3"/>
      <c r="F126" s="3"/>
      <c r="G126" s="33"/>
    </row>
    <row r="127" spans="1:7">
      <c r="A127" s="6"/>
      <c r="B127" s="10" t="s">
        <v>61</v>
      </c>
      <c r="C127" s="17">
        <v>0.85</v>
      </c>
      <c r="D127" s="3"/>
      <c r="E127" s="3"/>
      <c r="F127" s="3"/>
      <c r="G127" s="33"/>
    </row>
    <row r="128" spans="1:7" ht="15.6">
      <c r="A128" s="6"/>
      <c r="B128" s="8" t="s">
        <v>6</v>
      </c>
      <c r="C128" s="18">
        <v>10</v>
      </c>
      <c r="D128" s="12" t="s">
        <v>63</v>
      </c>
      <c r="E128" s="13">
        <f>+ROUNDUP(C125*C126*C127*3600*SQRT(C128),0)</f>
        <v>41</v>
      </c>
      <c r="F128" s="29" t="s">
        <v>42</v>
      </c>
      <c r="G128" s="33"/>
    </row>
    <row r="129" spans="1:20" ht="15.6">
      <c r="A129" s="6"/>
      <c r="B129" s="3"/>
      <c r="C129" s="7"/>
      <c r="D129" s="8"/>
      <c r="E129" s="14"/>
      <c r="F129" s="30"/>
      <c r="G129" s="33"/>
    </row>
    <row r="130" spans="1:20" ht="15.6">
      <c r="A130" s="6"/>
      <c r="B130" s="7" t="s">
        <v>82</v>
      </c>
      <c r="C130" s="8"/>
      <c r="D130" s="9"/>
      <c r="E130" s="3"/>
      <c r="F130" s="3"/>
      <c r="G130" s="33"/>
    </row>
    <row r="131" spans="1:20">
      <c r="A131" s="6"/>
      <c r="B131" s="10" t="s">
        <v>60</v>
      </c>
      <c r="C131" s="17">
        <v>2.1</v>
      </c>
      <c r="D131" s="11"/>
      <c r="E131" s="3"/>
      <c r="F131" s="3"/>
      <c r="G131" s="33"/>
    </row>
    <row r="132" spans="1:20">
      <c r="A132" s="6"/>
      <c r="B132" s="10" t="s">
        <v>59</v>
      </c>
      <c r="C132" s="17">
        <v>2E-3</v>
      </c>
      <c r="D132" s="11"/>
      <c r="E132" s="3"/>
      <c r="F132" s="3"/>
      <c r="G132" s="33"/>
    </row>
    <row r="133" spans="1:20">
      <c r="A133" s="6"/>
      <c r="B133" s="10" t="s">
        <v>61</v>
      </c>
      <c r="C133" s="17">
        <v>0.85</v>
      </c>
      <c r="D133" s="3"/>
      <c r="E133" s="3"/>
      <c r="F133" s="3"/>
      <c r="G133" s="33"/>
    </row>
    <row r="134" spans="1:20" ht="15.6">
      <c r="A134" s="6"/>
      <c r="B134" s="8" t="s">
        <v>6</v>
      </c>
      <c r="C134" s="18">
        <v>15</v>
      </c>
      <c r="D134" s="12" t="s">
        <v>63</v>
      </c>
      <c r="E134" s="13">
        <f>+ROUNDUP(C131*C132*C133*3600*SQRT(C134),0)</f>
        <v>50</v>
      </c>
      <c r="F134" s="29" t="s">
        <v>42</v>
      </c>
      <c r="G134" s="33"/>
    </row>
    <row r="135" spans="1:20" ht="16.2" thickBot="1">
      <c r="A135" s="15"/>
      <c r="B135" s="16"/>
      <c r="C135" s="19"/>
      <c r="D135" s="20"/>
      <c r="E135" s="21"/>
      <c r="F135" s="31"/>
      <c r="G135" s="34"/>
    </row>
    <row r="136" spans="1:20" ht="15.75" customHeight="1">
      <c r="A136" s="27"/>
      <c r="B136" s="27"/>
      <c r="C136" s="27"/>
      <c r="D136" s="27"/>
      <c r="E136" s="27"/>
      <c r="F136" s="27"/>
    </row>
    <row r="137" spans="1:20" ht="15.6">
      <c r="A137" s="27"/>
      <c r="B137" s="27"/>
      <c r="C137" s="27"/>
      <c r="D137" s="27"/>
      <c r="E137" s="27"/>
      <c r="F137" s="27"/>
    </row>
    <row r="138" spans="1:20" ht="24.6">
      <c r="A138" s="772" t="s">
        <v>64</v>
      </c>
      <c r="B138" s="772"/>
      <c r="C138" s="772"/>
      <c r="D138" s="772"/>
      <c r="E138" s="772"/>
      <c r="F138" s="772"/>
      <c r="G138" s="772"/>
    </row>
    <row r="139" spans="1:20" s="2" customFormat="1" ht="26.4">
      <c r="A139" s="774" t="s">
        <v>157</v>
      </c>
      <c r="B139" s="774" t="s">
        <v>158</v>
      </c>
      <c r="C139" s="26"/>
      <c r="D139" s="26" t="s">
        <v>159</v>
      </c>
      <c r="E139" s="700" t="s">
        <v>160</v>
      </c>
      <c r="F139" s="26" t="s">
        <v>77</v>
      </c>
      <c r="G139" s="774" t="s">
        <v>30</v>
      </c>
      <c r="S139" s="2">
        <v>0.86288955516499344</v>
      </c>
    </row>
    <row r="140" spans="1:20" s="2" customFormat="1" ht="13.8" thickBot="1">
      <c r="A140" s="774"/>
      <c r="B140" s="774"/>
      <c r="C140" s="26"/>
      <c r="D140" s="26" t="s">
        <v>4</v>
      </c>
      <c r="E140" s="776"/>
      <c r="F140" s="26" t="s">
        <v>42</v>
      </c>
      <c r="G140" s="774"/>
    </row>
    <row r="141" spans="1:20" s="300" customFormat="1" ht="16.2" thickBot="1">
      <c r="A141" s="147" t="str">
        <f>PortateAria!A22</f>
        <v>A001</v>
      </c>
      <c r="B141" s="420" t="s">
        <v>388</v>
      </c>
      <c r="C141" s="298"/>
      <c r="D141" s="151">
        <f>PortateAria!K22-0</f>
        <v>0</v>
      </c>
      <c r="E141" s="139" t="s">
        <v>391</v>
      </c>
      <c r="F141" s="140">
        <f t="shared" ref="F141:F144" si="0">Q141*SIGN(D141)</f>
        <v>0</v>
      </c>
      <c r="G141" s="35"/>
      <c r="H141" s="2"/>
      <c r="I141" s="187">
        <v>1.2</v>
      </c>
      <c r="J141" s="188">
        <v>2.1</v>
      </c>
      <c r="K141" s="175">
        <f t="shared" ref="K141:K144" si="1">(I141+J141)*2</f>
        <v>6.6</v>
      </c>
      <c r="L141" s="188">
        <v>2E-3</v>
      </c>
      <c r="M141" s="175">
        <f t="shared" ref="M141:M144" si="2">K141*L141</f>
        <v>1.32E-2</v>
      </c>
      <c r="N141" s="175">
        <f t="shared" ref="N141:N144" si="3">(2*P141*9.81/1.2)^(1/2)</f>
        <v>0</v>
      </c>
      <c r="O141" s="175">
        <f t="shared" ref="O141:O144" si="4">0.65*M141*N141*3600*$S$139</f>
        <v>0</v>
      </c>
      <c r="P141" s="189">
        <f t="shared" ref="P141:P144" si="5">S141/9.806*SIGN(D141)</f>
        <v>0</v>
      </c>
      <c r="Q141" s="190">
        <f t="shared" ref="Q141:Q144" si="6">CEILING(O141,10)</f>
        <v>0</v>
      </c>
      <c r="R141" s="108"/>
      <c r="S141" s="109">
        <f t="shared" ref="S141:S144" si="7">D141</f>
        <v>0</v>
      </c>
    </row>
    <row r="142" spans="1:20" s="300" customFormat="1" ht="16.2" thickBot="1">
      <c r="A142" s="147" t="str">
        <f>PortateAria!A22</f>
        <v>A001</v>
      </c>
      <c r="B142" s="421" t="s">
        <v>390</v>
      </c>
      <c r="C142" s="298"/>
      <c r="D142" s="151">
        <f>PortateAria!K22-0</f>
        <v>0</v>
      </c>
      <c r="E142" s="139" t="s">
        <v>391</v>
      </c>
      <c r="F142" s="140">
        <f t="shared" ref="F142:F143" si="8">Q142*SIGN(D142)</f>
        <v>0</v>
      </c>
      <c r="G142" s="35"/>
      <c r="H142" s="2"/>
      <c r="I142" s="187">
        <v>1.2</v>
      </c>
      <c r="J142" s="188">
        <v>2.1</v>
      </c>
      <c r="K142" s="175">
        <f t="shared" ref="K142" si="9">(I142+J142)*2</f>
        <v>6.6</v>
      </c>
      <c r="L142" s="188">
        <v>2E-3</v>
      </c>
      <c r="M142" s="175">
        <f t="shared" ref="M142" si="10">K142*L142</f>
        <v>1.32E-2</v>
      </c>
      <c r="N142" s="175">
        <f t="shared" ref="N142" si="11">(2*P142*9.81/1.2)^(1/2)</f>
        <v>0</v>
      </c>
      <c r="O142" s="175">
        <f t="shared" ref="O142" si="12">0.65*M142*N142*3600*$S$139</f>
        <v>0</v>
      </c>
      <c r="P142" s="189">
        <f t="shared" ref="P142" si="13">S142/9.806*SIGN(D142)</f>
        <v>0</v>
      </c>
      <c r="Q142" s="190">
        <f t="shared" ref="Q142" si="14">CEILING(O142,10)</f>
        <v>0</v>
      </c>
      <c r="R142" s="108"/>
      <c r="S142" s="109">
        <f t="shared" ref="S142" si="15">D142</f>
        <v>0</v>
      </c>
    </row>
    <row r="143" spans="1:20" s="300" customFormat="1" ht="16.2" thickBot="1">
      <c r="A143" s="147" t="str">
        <f>PortateAria!A22</f>
        <v>A001</v>
      </c>
      <c r="B143" s="122" t="str">
        <f>PortateAria!A23</f>
        <v>A002</v>
      </c>
      <c r="C143" s="298"/>
      <c r="D143" s="151">
        <f>PortateAria!K22-PortateAria!K23</f>
        <v>0</v>
      </c>
      <c r="E143" s="139" t="s">
        <v>391</v>
      </c>
      <c r="F143" s="140">
        <f t="shared" si="8"/>
        <v>0</v>
      </c>
      <c r="G143" s="35"/>
      <c r="H143" s="2"/>
      <c r="I143" s="187">
        <v>1.2</v>
      </c>
      <c r="J143" s="188">
        <v>2.1</v>
      </c>
      <c r="K143" s="175">
        <f t="shared" ref="K143" si="16">(I143+J143)*2</f>
        <v>6.6</v>
      </c>
      <c r="L143" s="188">
        <v>2E-3</v>
      </c>
      <c r="M143" s="175">
        <f t="shared" ref="M143" si="17">K143*L143</f>
        <v>1.32E-2</v>
      </c>
      <c r="N143" s="175">
        <f t="shared" ref="N143" si="18">(2*P143*9.81/1.2)^(1/2)</f>
        <v>0</v>
      </c>
      <c r="O143" s="175">
        <f t="shared" ref="O143" si="19">0.65*M143*N143*3600*$S$139</f>
        <v>0</v>
      </c>
      <c r="P143" s="189">
        <f t="shared" ref="P143" si="20">S143/9.806*SIGN(D143)</f>
        <v>0</v>
      </c>
      <c r="Q143" s="190">
        <f t="shared" ref="Q143" si="21">CEILING(O143,10)</f>
        <v>0</v>
      </c>
      <c r="R143" s="108"/>
      <c r="S143" s="109">
        <f t="shared" ref="S143" si="22">D143</f>
        <v>0</v>
      </c>
    </row>
    <row r="144" spans="1:20" s="300" customFormat="1" ht="16.2" thickBot="1">
      <c r="A144" s="147" t="str">
        <f>PortateAria!A23</f>
        <v>A002</v>
      </c>
      <c r="B144" s="297" t="str">
        <f>PortateAria!A22</f>
        <v>A001</v>
      </c>
      <c r="C144" s="137"/>
      <c r="D144" s="151">
        <f>PortateAria!K23-PortateAria!K22</f>
        <v>0</v>
      </c>
      <c r="E144" s="139" t="s">
        <v>391</v>
      </c>
      <c r="F144" s="140">
        <f t="shared" si="0"/>
        <v>0</v>
      </c>
      <c r="G144" s="35"/>
      <c r="H144" s="2"/>
      <c r="I144" s="187">
        <v>1.2</v>
      </c>
      <c r="J144" s="188">
        <v>2.1</v>
      </c>
      <c r="K144" s="175">
        <f t="shared" si="1"/>
        <v>6.6</v>
      </c>
      <c r="L144" s="188">
        <v>2E-3</v>
      </c>
      <c r="M144" s="175">
        <f t="shared" si="2"/>
        <v>1.32E-2</v>
      </c>
      <c r="N144" s="175">
        <f t="shared" si="3"/>
        <v>0</v>
      </c>
      <c r="O144" s="175">
        <f t="shared" si="4"/>
        <v>0</v>
      </c>
      <c r="P144" s="189">
        <f t="shared" si="5"/>
        <v>0</v>
      </c>
      <c r="Q144" s="190">
        <f t="shared" si="6"/>
        <v>0</v>
      </c>
      <c r="R144" s="108"/>
      <c r="S144" s="109">
        <f t="shared" si="7"/>
        <v>0</v>
      </c>
      <c r="T144" s="108"/>
    </row>
    <row r="145" spans="1:20" s="300" customFormat="1" ht="16.2" thickBot="1">
      <c r="A145" s="147" t="str">
        <f>PortateAria!A23</f>
        <v>A002</v>
      </c>
      <c r="B145" s="420" t="s">
        <v>388</v>
      </c>
      <c r="C145" s="137"/>
      <c r="D145" s="151">
        <f>PortateAria!K23-0</f>
        <v>0</v>
      </c>
      <c r="E145" s="139" t="s">
        <v>395</v>
      </c>
      <c r="F145" s="140">
        <f t="shared" ref="F145" si="23">Q145*SIGN(D145)</f>
        <v>0</v>
      </c>
      <c r="G145" s="35"/>
      <c r="H145" s="2"/>
      <c r="I145" s="187">
        <v>2</v>
      </c>
      <c r="J145" s="188">
        <v>3</v>
      </c>
      <c r="K145" s="175">
        <f t="shared" ref="K145" si="24">(I145+J145)*2</f>
        <v>10</v>
      </c>
      <c r="L145" s="188">
        <v>2E-3</v>
      </c>
      <c r="M145" s="175">
        <f t="shared" ref="M145" si="25">K145*L145</f>
        <v>0.02</v>
      </c>
      <c r="N145" s="175">
        <f t="shared" ref="N145" si="26">(2*P145*9.81/1.2)^(1/2)</f>
        <v>0</v>
      </c>
      <c r="O145" s="175">
        <f t="shared" ref="O145" si="27">0.65*M145*N145*3600*$S$139</f>
        <v>0</v>
      </c>
      <c r="P145" s="189">
        <f t="shared" ref="P145" si="28">S145/9.806*SIGN(D145)</f>
        <v>0</v>
      </c>
      <c r="Q145" s="190">
        <f t="shared" ref="Q145" si="29">CEILING(O145,10)</f>
        <v>0</v>
      </c>
      <c r="R145" s="108"/>
      <c r="S145" s="109">
        <f t="shared" ref="S145" si="30">D145</f>
        <v>0</v>
      </c>
      <c r="T145" s="108"/>
    </row>
    <row r="146" spans="1:20" s="2" customFormat="1" ht="16.2" thickBot="1">
      <c r="A146" s="147"/>
      <c r="B146" s="297"/>
      <c r="C146" s="137"/>
      <c r="D146" s="151"/>
      <c r="E146" s="139"/>
      <c r="F146" s="140"/>
      <c r="G146" s="35"/>
      <c r="I146" s="295"/>
      <c r="J146" s="295"/>
      <c r="K146" s="142"/>
      <c r="L146" s="295"/>
      <c r="M146" s="142"/>
      <c r="N146" s="142"/>
      <c r="O146" s="142"/>
      <c r="P146" s="142"/>
      <c r="Q146" s="296"/>
      <c r="R146" s="108"/>
      <c r="S146" s="146"/>
    </row>
    <row r="147" spans="1:20" s="300" customFormat="1" ht="16.2" thickBot="1">
      <c r="A147" s="147" t="str">
        <f>PortateAria!A26</f>
        <v>A103</v>
      </c>
      <c r="B147" s="122" t="str">
        <f>PortateAria!A45</f>
        <v>A104</v>
      </c>
      <c r="C147" s="298"/>
      <c r="D147" s="151">
        <f>PortateAria!K26-PortateAria!K45</f>
        <v>5</v>
      </c>
      <c r="E147" s="139" t="s">
        <v>189</v>
      </c>
      <c r="F147" s="140">
        <f t="shared" ref="F147" si="31">Q147*SIGN(D147)</f>
        <v>70</v>
      </c>
      <c r="G147" s="35"/>
      <c r="H147" s="2"/>
      <c r="I147" s="187">
        <v>0.9</v>
      </c>
      <c r="J147" s="188">
        <v>2.1</v>
      </c>
      <c r="K147" s="175">
        <f t="shared" ref="K147" si="32">(I147+J147)*2</f>
        <v>6</v>
      </c>
      <c r="L147" s="188">
        <v>2E-3</v>
      </c>
      <c r="M147" s="175">
        <f t="shared" ref="M147" si="33">K147*L147</f>
        <v>1.2E-2</v>
      </c>
      <c r="N147" s="175">
        <f t="shared" ref="N147" si="34">(2*P147*9.81/1.2)^(1/2)</f>
        <v>2.8873400583731232</v>
      </c>
      <c r="O147" s="175">
        <f t="shared" ref="O147" si="35">0.65*M147*N147*3600*$S$139</f>
        <v>69.960072646516593</v>
      </c>
      <c r="P147" s="189">
        <f t="shared" ref="P147" si="36">S147/9.806*SIGN(D147)</f>
        <v>0.50989190291658171</v>
      </c>
      <c r="Q147" s="190">
        <f t="shared" ref="Q147" si="37">CEILING(O147,10)</f>
        <v>70</v>
      </c>
      <c r="R147" s="108"/>
      <c r="S147" s="109">
        <f t="shared" ref="S147" si="38">D147</f>
        <v>5</v>
      </c>
    </row>
    <row r="148" spans="1:20" s="300" customFormat="1" ht="16.2" thickBot="1">
      <c r="A148" s="147" t="str">
        <f>PortateAria!A26</f>
        <v>A103</v>
      </c>
      <c r="B148" s="122" t="str">
        <f>PortateAria!A48</f>
        <v>A107</v>
      </c>
      <c r="C148" s="298"/>
      <c r="D148" s="151">
        <f>PortateAria!K26-PortateAria!K48</f>
        <v>5</v>
      </c>
      <c r="E148" s="139" t="s">
        <v>189</v>
      </c>
      <c r="F148" s="140">
        <f t="shared" ref="F148:F149" si="39">Q148*SIGN(D148)</f>
        <v>70</v>
      </c>
      <c r="G148" s="35"/>
      <c r="H148" s="2"/>
      <c r="I148" s="187">
        <v>0.9</v>
      </c>
      <c r="J148" s="188">
        <v>2.1</v>
      </c>
      <c r="K148" s="175">
        <f t="shared" ref="K148" si="40">(I148+J148)*2</f>
        <v>6</v>
      </c>
      <c r="L148" s="188">
        <v>2E-3</v>
      </c>
      <c r="M148" s="175">
        <f t="shared" ref="M148" si="41">K148*L148</f>
        <v>1.2E-2</v>
      </c>
      <c r="N148" s="175">
        <f t="shared" ref="N148" si="42">(2*P148*9.81/1.2)^(1/2)</f>
        <v>2.8873400583731232</v>
      </c>
      <c r="O148" s="175">
        <f t="shared" ref="O148" si="43">0.65*M148*N148*3600*$S$139</f>
        <v>69.960072646516593</v>
      </c>
      <c r="P148" s="189">
        <f t="shared" ref="P148" si="44">S148/9.806*SIGN(D148)</f>
        <v>0.50989190291658171</v>
      </c>
      <c r="Q148" s="190">
        <f t="shared" ref="Q148" si="45">CEILING(O148,10)</f>
        <v>70</v>
      </c>
      <c r="R148" s="108"/>
      <c r="S148" s="109">
        <f t="shared" ref="S148" si="46">D148</f>
        <v>5</v>
      </c>
    </row>
    <row r="149" spans="1:20" s="300" customFormat="1" ht="16.2" thickBot="1">
      <c r="A149" s="147" t="str">
        <f>PortateAria!A45</f>
        <v>A104</v>
      </c>
      <c r="B149" s="122" t="str">
        <f>PortateAria!A26</f>
        <v>A103</v>
      </c>
      <c r="C149" s="137"/>
      <c r="D149" s="151">
        <f>PortateAria!K45-PortateAria!K26</f>
        <v>-5</v>
      </c>
      <c r="E149" s="139" t="s">
        <v>189</v>
      </c>
      <c r="F149" s="140">
        <f t="shared" si="39"/>
        <v>-70</v>
      </c>
      <c r="G149" s="35"/>
      <c r="H149" s="2"/>
      <c r="I149" s="187">
        <v>0.9</v>
      </c>
      <c r="J149" s="188">
        <v>2.1</v>
      </c>
      <c r="K149" s="175">
        <f t="shared" ref="K149:K154" si="47">(I149+J149)*2</f>
        <v>6</v>
      </c>
      <c r="L149" s="188">
        <v>2E-3</v>
      </c>
      <c r="M149" s="175">
        <f t="shared" ref="M149:M154" si="48">K149*L149</f>
        <v>1.2E-2</v>
      </c>
      <c r="N149" s="175">
        <f t="shared" ref="N149:N154" si="49">(2*P149*9.81/1.2)^(1/2)</f>
        <v>2.8873400583731232</v>
      </c>
      <c r="O149" s="175">
        <f t="shared" ref="O149:O154" si="50">0.65*M149*N149*3600*$S$139</f>
        <v>69.960072646516593</v>
      </c>
      <c r="P149" s="189">
        <f t="shared" ref="P149:P154" si="51">S149/9.806*SIGN(D149)</f>
        <v>0.50989190291658171</v>
      </c>
      <c r="Q149" s="190">
        <f t="shared" ref="Q149:Q154" si="52">CEILING(O149,10)</f>
        <v>70</v>
      </c>
      <c r="R149" s="108"/>
      <c r="S149" s="109">
        <f t="shared" ref="S149:S154" si="53">D149</f>
        <v>-5</v>
      </c>
      <c r="T149" s="2"/>
    </row>
    <row r="150" spans="1:20" s="300" customFormat="1" ht="16.2" thickBot="1">
      <c r="A150" s="147" t="str">
        <f>PortateAria!A45</f>
        <v>A104</v>
      </c>
      <c r="B150" s="297" t="str">
        <f>PortateAria!A46</f>
        <v>A105</v>
      </c>
      <c r="C150" s="137"/>
      <c r="D150" s="151">
        <f>PortateAria!K45-PortateAria!K46</f>
        <v>5</v>
      </c>
      <c r="E150" s="139" t="s">
        <v>189</v>
      </c>
      <c r="F150" s="140">
        <f t="shared" ref="F150" si="54">Q150*SIGN(D150)</f>
        <v>70</v>
      </c>
      <c r="G150" s="35"/>
      <c r="H150" s="2"/>
      <c r="I150" s="187">
        <v>0.9</v>
      </c>
      <c r="J150" s="188">
        <v>2.1</v>
      </c>
      <c r="K150" s="175">
        <f t="shared" si="47"/>
        <v>6</v>
      </c>
      <c r="L150" s="188">
        <v>2E-3</v>
      </c>
      <c r="M150" s="175">
        <f t="shared" si="48"/>
        <v>1.2E-2</v>
      </c>
      <c r="N150" s="175">
        <f t="shared" si="49"/>
        <v>2.8873400583731232</v>
      </c>
      <c r="O150" s="175">
        <f t="shared" si="50"/>
        <v>69.960072646516593</v>
      </c>
      <c r="P150" s="189">
        <f t="shared" si="51"/>
        <v>0.50989190291658171</v>
      </c>
      <c r="Q150" s="190">
        <f t="shared" si="52"/>
        <v>70</v>
      </c>
      <c r="R150" s="108"/>
      <c r="S150" s="109">
        <f t="shared" si="53"/>
        <v>5</v>
      </c>
      <c r="T150" s="108"/>
    </row>
    <row r="151" spans="1:20" s="300" customFormat="1" ht="16.2" thickBot="1">
      <c r="A151" s="147" t="str">
        <f>PortateAria!A46</f>
        <v>A105</v>
      </c>
      <c r="B151" s="122" t="str">
        <f>PortateAria!A45</f>
        <v>A104</v>
      </c>
      <c r="C151" s="137"/>
      <c r="D151" s="151">
        <f>PortateAria!K46-PortateAria!K45</f>
        <v>-5</v>
      </c>
      <c r="E151" s="139" t="s">
        <v>189</v>
      </c>
      <c r="F151" s="140">
        <f t="shared" ref="F151:F154" si="55">Q151*SIGN(D151)</f>
        <v>-70</v>
      </c>
      <c r="G151" s="35"/>
      <c r="H151" s="2"/>
      <c r="I151" s="187">
        <v>0.9</v>
      </c>
      <c r="J151" s="188">
        <v>2.1</v>
      </c>
      <c r="K151" s="175">
        <f t="shared" si="47"/>
        <v>6</v>
      </c>
      <c r="L151" s="188">
        <v>2E-3</v>
      </c>
      <c r="M151" s="175">
        <f t="shared" si="48"/>
        <v>1.2E-2</v>
      </c>
      <c r="N151" s="175">
        <f t="shared" si="49"/>
        <v>2.8873400583731232</v>
      </c>
      <c r="O151" s="175">
        <f t="shared" si="50"/>
        <v>69.960072646516593</v>
      </c>
      <c r="P151" s="189">
        <f t="shared" si="51"/>
        <v>0.50989190291658171</v>
      </c>
      <c r="Q151" s="190">
        <f t="shared" si="52"/>
        <v>70</v>
      </c>
      <c r="R151" s="108"/>
      <c r="S151" s="109">
        <f t="shared" si="53"/>
        <v>-5</v>
      </c>
      <c r="T151" s="2"/>
    </row>
    <row r="152" spans="1:20" s="300" customFormat="1" ht="16.2" thickBot="1">
      <c r="A152" s="147" t="str">
        <f>PortateAria!A47</f>
        <v>A106</v>
      </c>
      <c r="B152" s="122" t="str">
        <f>PortateAria!A48</f>
        <v>A107</v>
      </c>
      <c r="C152" s="137"/>
      <c r="D152" s="151">
        <f>PortateAria!K47-PortateAria!K48</f>
        <v>-5</v>
      </c>
      <c r="E152" s="139" t="s">
        <v>189</v>
      </c>
      <c r="F152" s="140">
        <f t="shared" si="55"/>
        <v>-70</v>
      </c>
      <c r="G152" s="35"/>
      <c r="H152" s="2"/>
      <c r="I152" s="187">
        <v>0.9</v>
      </c>
      <c r="J152" s="188">
        <v>2.1</v>
      </c>
      <c r="K152" s="175">
        <f t="shared" si="47"/>
        <v>6</v>
      </c>
      <c r="L152" s="188">
        <v>2E-3</v>
      </c>
      <c r="M152" s="175">
        <f t="shared" si="48"/>
        <v>1.2E-2</v>
      </c>
      <c r="N152" s="175">
        <f t="shared" si="49"/>
        <v>2.8873400583731232</v>
      </c>
      <c r="O152" s="175">
        <f t="shared" si="50"/>
        <v>69.960072646516593</v>
      </c>
      <c r="P152" s="189">
        <f t="shared" si="51"/>
        <v>0.50989190291658171</v>
      </c>
      <c r="Q152" s="190">
        <f t="shared" si="52"/>
        <v>70</v>
      </c>
      <c r="R152" s="108"/>
      <c r="S152" s="109">
        <f t="shared" si="53"/>
        <v>-5</v>
      </c>
      <c r="T152" s="2"/>
    </row>
    <row r="153" spans="1:20" s="300" customFormat="1" ht="16.2" thickBot="1">
      <c r="A153" s="147" t="str">
        <f>PortateAria!A48</f>
        <v>A107</v>
      </c>
      <c r="B153" s="23" t="str">
        <f>PortateAria!A26</f>
        <v>A103</v>
      </c>
      <c r="C153" s="137"/>
      <c r="D153" s="151">
        <f>PortateAria!K48-PortateAria!K26</f>
        <v>-5</v>
      </c>
      <c r="E153" s="139" t="s">
        <v>189</v>
      </c>
      <c r="F153" s="140">
        <f t="shared" si="55"/>
        <v>-70</v>
      </c>
      <c r="G153" s="35"/>
      <c r="H153" s="2"/>
      <c r="I153" s="187">
        <v>0.9</v>
      </c>
      <c r="J153" s="188">
        <v>2.1</v>
      </c>
      <c r="K153" s="175">
        <f t="shared" si="47"/>
        <v>6</v>
      </c>
      <c r="L153" s="188">
        <v>2E-3</v>
      </c>
      <c r="M153" s="175">
        <f t="shared" si="48"/>
        <v>1.2E-2</v>
      </c>
      <c r="N153" s="175">
        <f t="shared" si="49"/>
        <v>2.8873400583731232</v>
      </c>
      <c r="O153" s="175">
        <f t="shared" si="50"/>
        <v>69.960072646516593</v>
      </c>
      <c r="P153" s="189">
        <f t="shared" si="51"/>
        <v>0.50989190291658171</v>
      </c>
      <c r="Q153" s="190">
        <f t="shared" si="52"/>
        <v>70</v>
      </c>
      <c r="R153" s="108"/>
      <c r="S153" s="109">
        <f t="shared" si="53"/>
        <v>-5</v>
      </c>
      <c r="T153" s="2"/>
    </row>
    <row r="154" spans="1:20" s="2" customFormat="1" ht="16.2" thickBot="1">
      <c r="A154" s="147" t="str">
        <f>PortateAria!A48</f>
        <v>A107</v>
      </c>
      <c r="B154" s="297" t="str">
        <f>PortateAria!A47</f>
        <v>A106</v>
      </c>
      <c r="C154" s="137"/>
      <c r="D154" s="151">
        <f>PortateAria!K48-PortateAria!K47</f>
        <v>5</v>
      </c>
      <c r="E154" s="139" t="s">
        <v>189</v>
      </c>
      <c r="F154" s="140">
        <f t="shared" si="55"/>
        <v>70</v>
      </c>
      <c r="G154" s="35"/>
      <c r="I154" s="187">
        <v>0.9</v>
      </c>
      <c r="J154" s="188">
        <v>2.1</v>
      </c>
      <c r="K154" s="175">
        <f t="shared" si="47"/>
        <v>6</v>
      </c>
      <c r="L154" s="188">
        <v>2E-3</v>
      </c>
      <c r="M154" s="175">
        <f t="shared" si="48"/>
        <v>1.2E-2</v>
      </c>
      <c r="N154" s="175">
        <f t="shared" si="49"/>
        <v>2.8873400583731232</v>
      </c>
      <c r="O154" s="175">
        <f t="shared" si="50"/>
        <v>69.960072646516593</v>
      </c>
      <c r="P154" s="189">
        <f t="shared" si="51"/>
        <v>0.50989190291658171</v>
      </c>
      <c r="Q154" s="190">
        <f t="shared" si="52"/>
        <v>70</v>
      </c>
      <c r="R154" s="108"/>
      <c r="S154" s="109">
        <f t="shared" si="53"/>
        <v>5</v>
      </c>
    </row>
    <row r="155" spans="1:20" s="2" customFormat="1" ht="16.2" thickBot="1">
      <c r="A155" s="147"/>
      <c r="B155" s="297"/>
      <c r="C155" s="137"/>
      <c r="D155" s="151"/>
      <c r="E155" s="139"/>
      <c r="F155" s="140"/>
      <c r="G155" s="35"/>
      <c r="I155" s="295"/>
      <c r="J155" s="295"/>
      <c r="K155" s="142"/>
      <c r="L155" s="295"/>
      <c r="M155" s="142"/>
      <c r="N155" s="142"/>
      <c r="O155" s="142"/>
      <c r="P155" s="142"/>
      <c r="Q155" s="296"/>
      <c r="R155" s="108"/>
      <c r="S155" s="146"/>
    </row>
    <row r="156" spans="1:20" s="300" customFormat="1" ht="16.2" thickBot="1">
      <c r="A156" s="147" t="str">
        <f>PortateAria!A98</f>
        <v>B001</v>
      </c>
      <c r="B156" s="122" t="str">
        <f>PortateAria!A99</f>
        <v>B002</v>
      </c>
      <c r="C156" s="137"/>
      <c r="D156" s="151">
        <f>PortateAria!K98-PortateAria!K99</f>
        <v>-14.5</v>
      </c>
      <c r="E156" s="139" t="s">
        <v>392</v>
      </c>
      <c r="F156" s="140">
        <f t="shared" ref="F156" si="56">Q156*SIGN(D156)</f>
        <v>-150</v>
      </c>
      <c r="G156" s="299"/>
      <c r="I156" s="187">
        <v>1.6</v>
      </c>
      <c r="J156" s="188">
        <v>2.1</v>
      </c>
      <c r="K156" s="175">
        <f t="shared" ref="K156:K160" si="57">(I156+J156)*2</f>
        <v>7.4</v>
      </c>
      <c r="L156" s="188">
        <v>2E-3</v>
      </c>
      <c r="M156" s="175">
        <f t="shared" ref="M156:M160" si="58">K156*L156</f>
        <v>1.4800000000000001E-2</v>
      </c>
      <c r="N156" s="175">
        <f t="shared" ref="N156:N160" si="59">(2*P156*9.81/1.2)^(1/2)</f>
        <v>4.9169629423852408</v>
      </c>
      <c r="O156" s="175">
        <f t="shared" ref="O156:O160" si="60">0.65*M156*N156*3600*$S$139</f>
        <v>146.93650989858327</v>
      </c>
      <c r="P156" s="189">
        <f t="shared" ref="P156:P160" si="61">S156/9.806*SIGN(D156)</f>
        <v>1.4786865184580871</v>
      </c>
      <c r="Q156" s="190">
        <f t="shared" ref="Q156:Q160" si="62">CEILING(O156,10)</f>
        <v>150</v>
      </c>
      <c r="R156" s="108"/>
      <c r="S156" s="109">
        <f t="shared" ref="S156:S160" si="63">D156</f>
        <v>-14.5</v>
      </c>
      <c r="T156" s="2"/>
    </row>
    <row r="157" spans="1:20" s="300" customFormat="1" ht="16.2" thickBot="1">
      <c r="A157" s="147" t="str">
        <f>PortateAria!A98</f>
        <v>B001</v>
      </c>
      <c r="B157" s="366" t="s">
        <v>420</v>
      </c>
      <c r="C157" s="137"/>
      <c r="D157" s="151">
        <f>PortateAria!K98-0</f>
        <v>0</v>
      </c>
      <c r="E157" s="139" t="s">
        <v>392</v>
      </c>
      <c r="F157" s="140">
        <f t="shared" ref="F157" si="64">Q157*SIGN(D157)</f>
        <v>0</v>
      </c>
      <c r="G157" s="299"/>
      <c r="I157" s="187">
        <v>1.6</v>
      </c>
      <c r="J157" s="188">
        <v>2.1</v>
      </c>
      <c r="K157" s="175">
        <f t="shared" ref="K157" si="65">(I157+J157)*2</f>
        <v>7.4</v>
      </c>
      <c r="L157" s="188">
        <v>2E-3</v>
      </c>
      <c r="M157" s="175">
        <f t="shared" ref="M157" si="66">K157*L157</f>
        <v>1.4800000000000001E-2</v>
      </c>
      <c r="N157" s="175">
        <f t="shared" ref="N157" si="67">(2*P157*9.81/1.2)^(1/2)</f>
        <v>0</v>
      </c>
      <c r="O157" s="175">
        <f t="shared" ref="O157" si="68">0.65*M157*N157*3600*$S$139</f>
        <v>0</v>
      </c>
      <c r="P157" s="189">
        <f t="shared" ref="P157" si="69">S157/9.806*SIGN(D157)</f>
        <v>0</v>
      </c>
      <c r="Q157" s="190">
        <f t="shared" ref="Q157" si="70">CEILING(O157,10)</f>
        <v>0</v>
      </c>
      <c r="R157" s="108"/>
      <c r="S157" s="109">
        <f t="shared" ref="S157" si="71">D157</f>
        <v>0</v>
      </c>
      <c r="T157" s="2"/>
    </row>
    <row r="158" spans="1:20" s="300" customFormat="1" ht="16.2" thickBot="1">
      <c r="A158" s="147" t="str">
        <f>PortateAria!A99</f>
        <v>B002</v>
      </c>
      <c r="B158" s="122" t="str">
        <f>PortateAria!A98</f>
        <v>B001</v>
      </c>
      <c r="C158" s="137"/>
      <c r="D158" s="151">
        <f>PortateAria!K99-PortateAria!K98</f>
        <v>14.5</v>
      </c>
      <c r="E158" s="139" t="s">
        <v>392</v>
      </c>
      <c r="F158" s="140">
        <f t="shared" ref="F158:F161" si="72">Q158*SIGN(D158)</f>
        <v>150</v>
      </c>
      <c r="G158" s="299"/>
      <c r="I158" s="187">
        <v>1.6</v>
      </c>
      <c r="J158" s="188">
        <v>2.1</v>
      </c>
      <c r="K158" s="175">
        <f t="shared" ref="K158" si="73">(I158+J158)*2</f>
        <v>7.4</v>
      </c>
      <c r="L158" s="188">
        <v>2E-3</v>
      </c>
      <c r="M158" s="175">
        <f t="shared" ref="M158" si="74">K158*L158</f>
        <v>1.4800000000000001E-2</v>
      </c>
      <c r="N158" s="175">
        <f t="shared" ref="N158" si="75">(2*P158*9.81/1.2)^(1/2)</f>
        <v>4.9169629423852408</v>
      </c>
      <c r="O158" s="175">
        <f t="shared" ref="O158" si="76">0.65*M158*N158*3600*$S$139</f>
        <v>146.93650989858327</v>
      </c>
      <c r="P158" s="189">
        <f t="shared" ref="P158" si="77">S158/9.806*SIGN(D158)</f>
        <v>1.4786865184580871</v>
      </c>
      <c r="Q158" s="190">
        <f t="shared" ref="Q158" si="78">CEILING(O158,10)</f>
        <v>150</v>
      </c>
      <c r="R158" s="108"/>
      <c r="S158" s="109">
        <f t="shared" ref="S158" si="79">D158</f>
        <v>14.5</v>
      </c>
      <c r="T158" s="2"/>
    </row>
    <row r="159" spans="1:20" s="300" customFormat="1" ht="16.2" thickBot="1">
      <c r="A159" s="147" t="str">
        <f>PortateAria!A99</f>
        <v>B002</v>
      </c>
      <c r="B159" s="122" t="str">
        <f>PortateAria!A100</f>
        <v>B003</v>
      </c>
      <c r="C159" s="137"/>
      <c r="D159" s="151">
        <f>PortateAria!K99-PortateAria!K100</f>
        <v>4.5</v>
      </c>
      <c r="E159" s="139" t="s">
        <v>392</v>
      </c>
      <c r="F159" s="140">
        <f t="shared" si="72"/>
        <v>90</v>
      </c>
      <c r="G159" s="299"/>
      <c r="I159" s="187">
        <v>1.6</v>
      </c>
      <c r="J159" s="188">
        <v>2.1</v>
      </c>
      <c r="K159" s="175">
        <f t="shared" si="57"/>
        <v>7.4</v>
      </c>
      <c r="L159" s="188">
        <v>2E-3</v>
      </c>
      <c r="M159" s="175">
        <f t="shared" si="58"/>
        <v>1.4800000000000001E-2</v>
      </c>
      <c r="N159" s="175">
        <f t="shared" si="59"/>
        <v>2.7391712891707778</v>
      </c>
      <c r="O159" s="175">
        <f t="shared" si="60"/>
        <v>81.856274688519434</v>
      </c>
      <c r="P159" s="189">
        <f t="shared" si="61"/>
        <v>0.45890271262492355</v>
      </c>
      <c r="Q159" s="190">
        <f t="shared" si="62"/>
        <v>90</v>
      </c>
      <c r="R159" s="108"/>
      <c r="S159" s="109">
        <f t="shared" si="63"/>
        <v>4.5</v>
      </c>
      <c r="T159" s="2"/>
    </row>
    <row r="160" spans="1:20" s="2" customFormat="1" ht="16.2" thickBot="1">
      <c r="A160" s="147" t="str">
        <f>PortateAria!A100</f>
        <v>B003</v>
      </c>
      <c r="B160" s="122" t="str">
        <f>PortateAria!A99</f>
        <v>B002</v>
      </c>
      <c r="C160" s="137"/>
      <c r="D160" s="151">
        <f>PortateAria!K100-PortateAria!K99</f>
        <v>-4.5</v>
      </c>
      <c r="E160" s="139" t="s">
        <v>392</v>
      </c>
      <c r="F160" s="140">
        <f t="shared" si="72"/>
        <v>-90</v>
      </c>
      <c r="G160" s="299"/>
      <c r="H160" s="300"/>
      <c r="I160" s="187">
        <v>1.6</v>
      </c>
      <c r="J160" s="188">
        <v>2.1</v>
      </c>
      <c r="K160" s="175">
        <f t="shared" si="57"/>
        <v>7.4</v>
      </c>
      <c r="L160" s="188">
        <v>2E-3</v>
      </c>
      <c r="M160" s="175">
        <f t="shared" si="58"/>
        <v>1.4800000000000001E-2</v>
      </c>
      <c r="N160" s="175">
        <f t="shared" si="59"/>
        <v>2.7391712891707778</v>
      </c>
      <c r="O160" s="175">
        <f t="shared" si="60"/>
        <v>81.856274688519434</v>
      </c>
      <c r="P160" s="189">
        <f t="shared" si="61"/>
        <v>0.45890271262492355</v>
      </c>
      <c r="Q160" s="190">
        <f t="shared" si="62"/>
        <v>90</v>
      </c>
      <c r="R160" s="108"/>
      <c r="S160" s="109">
        <f t="shared" si="63"/>
        <v>-4.5</v>
      </c>
    </row>
    <row r="161" spans="1:19" s="2" customFormat="1" ht="16.2" thickBot="1">
      <c r="A161" s="147" t="str">
        <f>PortateAria!A100</f>
        <v>B003</v>
      </c>
      <c r="B161" s="122" t="s">
        <v>421</v>
      </c>
      <c r="C161" s="137"/>
      <c r="D161" s="151">
        <f>PortateAria!K100-0</f>
        <v>10</v>
      </c>
      <c r="E161" s="139" t="s">
        <v>422</v>
      </c>
      <c r="F161" s="140">
        <f t="shared" si="72"/>
        <v>130</v>
      </c>
      <c r="G161" s="35"/>
      <c r="I161" s="187">
        <v>1.8</v>
      </c>
      <c r="J161" s="188">
        <v>2.1</v>
      </c>
      <c r="K161" s="175">
        <f t="shared" ref="K161" si="80">(I161+J161)*2</f>
        <v>7.8000000000000007</v>
      </c>
      <c r="L161" s="188">
        <v>2E-3</v>
      </c>
      <c r="M161" s="175">
        <f t="shared" ref="M161" si="81">K161*L161</f>
        <v>1.5600000000000001E-2</v>
      </c>
      <c r="N161" s="175">
        <f t="shared" ref="N161" si="82">(2*P161*9.81/1.2)^(1/2)</f>
        <v>4.0833154697343952</v>
      </c>
      <c r="O161" s="175">
        <f t="shared" ref="O161" si="83">0.65*M161*N161*3600*$S$139</f>
        <v>128.62002862970402</v>
      </c>
      <c r="P161" s="189">
        <f t="shared" ref="P161" si="84">S161/9.806*SIGN(D161)</f>
        <v>1.0197838058331634</v>
      </c>
      <c r="Q161" s="190">
        <f t="shared" ref="Q161" si="85">CEILING(O161,10)</f>
        <v>130</v>
      </c>
      <c r="R161" s="108"/>
      <c r="S161" s="109">
        <f t="shared" ref="S161" si="86">D161</f>
        <v>10</v>
      </c>
    </row>
    <row r="162" spans="1:19" s="2" customFormat="1" ht="16.2" thickBot="1">
      <c r="A162" s="147"/>
      <c r="B162" s="122"/>
      <c r="C162" s="137"/>
      <c r="D162" s="151"/>
      <c r="E162" s="139"/>
      <c r="F162" s="140"/>
      <c r="G162" s="35"/>
      <c r="I162" s="187"/>
      <c r="J162" s="188"/>
      <c r="K162" s="175"/>
      <c r="L162" s="188"/>
      <c r="M162" s="175"/>
      <c r="N162" s="175"/>
      <c r="O162" s="175"/>
      <c r="P162" s="189"/>
      <c r="Q162" s="190"/>
      <c r="R162" s="108"/>
      <c r="S162" s="109"/>
    </row>
    <row r="163" spans="1:19" s="2" customFormat="1" ht="16.2" thickBot="1">
      <c r="A163" s="147" t="str">
        <f>PortateAria!A81</f>
        <v>0605/0311</v>
      </c>
      <c r="B163" s="122" t="str">
        <f>PortateAria!A66</f>
        <v>E003</v>
      </c>
      <c r="C163" s="137"/>
      <c r="D163" s="151">
        <f>0-PortateAria!K66</f>
        <v>-8</v>
      </c>
      <c r="E163" s="139" t="s">
        <v>387</v>
      </c>
      <c r="F163" s="140">
        <f>Q163*SIGN(D163)</f>
        <v>-110</v>
      </c>
      <c r="G163" s="299"/>
      <c r="H163" s="300"/>
      <c r="I163" s="187">
        <v>1.3</v>
      </c>
      <c r="J163" s="188">
        <v>2.1</v>
      </c>
      <c r="K163" s="175">
        <f>(I163+J163)*2</f>
        <v>6.8000000000000007</v>
      </c>
      <c r="L163" s="188">
        <v>2E-3</v>
      </c>
      <c r="M163" s="175">
        <f>K163*L163</f>
        <v>1.3600000000000001E-2</v>
      </c>
      <c r="N163" s="175">
        <f>(2*P163*9.81/1.2)^(1/2)</f>
        <v>3.6522283855610369</v>
      </c>
      <c r="O163" s="175">
        <f>0.65*M163*N163*3600*$S$139</f>
        <v>100.29237259133915</v>
      </c>
      <c r="P163" s="189">
        <f>S163/9.806*SIGN(D163)</f>
        <v>0.81582704466653078</v>
      </c>
      <c r="Q163" s="190">
        <f>CEILING(O163,10)</f>
        <v>110</v>
      </c>
      <c r="R163" s="108"/>
      <c r="S163" s="109">
        <f>D163</f>
        <v>-8</v>
      </c>
    </row>
    <row r="164" spans="1:19" s="2" customFormat="1" ht="16.2" thickBot="1">
      <c r="A164" s="147" t="str">
        <f>PortateAria!A82</f>
        <v>0606</v>
      </c>
      <c r="B164" s="122" t="str">
        <f>PortateAria!A83</f>
        <v>0615</v>
      </c>
      <c r="C164" s="137"/>
      <c r="D164" s="151">
        <f>PortateAria!K82-PortateAria!K83</f>
        <v>10</v>
      </c>
      <c r="E164" s="139" t="s">
        <v>504</v>
      </c>
      <c r="F164" s="140">
        <f t="shared" ref="F164" si="87">Q164*SIGN(D164)</f>
        <v>170</v>
      </c>
      <c r="G164" s="299"/>
      <c r="H164" s="300"/>
      <c r="I164" s="187">
        <v>2</v>
      </c>
      <c r="J164" s="188">
        <v>3</v>
      </c>
      <c r="K164" s="175">
        <f t="shared" ref="K164" si="88">(I164+J164)*2</f>
        <v>10</v>
      </c>
      <c r="L164" s="188">
        <v>2E-3</v>
      </c>
      <c r="M164" s="175">
        <f t="shared" ref="M164" si="89">K164*L164</f>
        <v>0.02</v>
      </c>
      <c r="N164" s="175">
        <f t="shared" ref="N164" si="90">(2*P164*9.81/1.2)^(1/2)</f>
        <v>4.0833154697343952</v>
      </c>
      <c r="O164" s="175">
        <f t="shared" ref="O164" si="91">0.65*M164*N164*3600*$S$139</f>
        <v>164.89747260218459</v>
      </c>
      <c r="P164" s="189">
        <f t="shared" ref="P164" si="92">S164/9.806*SIGN(D164)</f>
        <v>1.0197838058331634</v>
      </c>
      <c r="Q164" s="190">
        <f t="shared" ref="Q164" si="93">CEILING(O164,10)</f>
        <v>170</v>
      </c>
      <c r="R164" s="108"/>
      <c r="S164" s="109">
        <f t="shared" ref="S164" si="94">D164</f>
        <v>10</v>
      </c>
    </row>
    <row r="165" spans="1:19" s="2" customFormat="1" ht="16.2" thickBot="1">
      <c r="A165" s="147" t="str">
        <f>PortateAria!A83</f>
        <v>0615</v>
      </c>
      <c r="B165" s="122" t="str">
        <f>PortateAria!A82</f>
        <v>0606</v>
      </c>
      <c r="C165" s="137"/>
      <c r="D165" s="151">
        <f>PortateAria!K83-PortateAria!K82</f>
        <v>-10</v>
      </c>
      <c r="E165" s="139" t="s">
        <v>504</v>
      </c>
      <c r="F165" s="140">
        <f t="shared" ref="F165" si="95">Q165*SIGN(D165)</f>
        <v>-170</v>
      </c>
      <c r="G165" s="299"/>
      <c r="H165" s="300"/>
      <c r="I165" s="187">
        <v>2</v>
      </c>
      <c r="J165" s="188">
        <v>3</v>
      </c>
      <c r="K165" s="175">
        <f t="shared" ref="K165" si="96">(I165+J165)*2</f>
        <v>10</v>
      </c>
      <c r="L165" s="188">
        <v>2E-3</v>
      </c>
      <c r="M165" s="175">
        <f t="shared" ref="M165" si="97">K165*L165</f>
        <v>0.02</v>
      </c>
      <c r="N165" s="175">
        <f t="shared" ref="N165" si="98">(2*P165*9.81/1.2)^(1/2)</f>
        <v>4.0833154697343952</v>
      </c>
      <c r="O165" s="175">
        <f t="shared" ref="O165" si="99">0.65*M165*N165*3600*$S$139</f>
        <v>164.89747260218459</v>
      </c>
      <c r="P165" s="189">
        <f t="shared" ref="P165" si="100">S165/9.806*SIGN(D165)</f>
        <v>1.0197838058331634</v>
      </c>
      <c r="Q165" s="190">
        <f t="shared" ref="Q165" si="101">CEILING(O165,10)</f>
        <v>170</v>
      </c>
      <c r="R165" s="108"/>
      <c r="S165" s="109">
        <f t="shared" ref="S165" si="102">D165</f>
        <v>-10</v>
      </c>
    </row>
    <row r="166" spans="1:19" s="2" customFormat="1" ht="16.2" thickBot="1">
      <c r="A166" s="147" t="str">
        <f>PortateAria!A83</f>
        <v>0615</v>
      </c>
      <c r="B166" s="122" t="s">
        <v>388</v>
      </c>
      <c r="C166" s="137"/>
      <c r="D166" s="151">
        <f>PortateAria!K83-0</f>
        <v>-10</v>
      </c>
      <c r="E166" s="139" t="s">
        <v>504</v>
      </c>
      <c r="F166" s="140">
        <f t="shared" ref="F166" si="103">Q166*SIGN(D166)</f>
        <v>-170</v>
      </c>
      <c r="G166" s="299"/>
      <c r="H166" s="300"/>
      <c r="I166" s="187">
        <v>2</v>
      </c>
      <c r="J166" s="188">
        <v>3</v>
      </c>
      <c r="K166" s="175">
        <f t="shared" ref="K166" si="104">(I166+J166)*2</f>
        <v>10</v>
      </c>
      <c r="L166" s="188">
        <v>2E-3</v>
      </c>
      <c r="M166" s="175">
        <f t="shared" ref="M166" si="105">K166*L166</f>
        <v>0.02</v>
      </c>
      <c r="N166" s="175">
        <f t="shared" ref="N166" si="106">(2*P166*9.81/1.2)^(1/2)</f>
        <v>4.0833154697343952</v>
      </c>
      <c r="O166" s="175">
        <f t="shared" ref="O166" si="107">0.65*M166*N166*3600*$S$139</f>
        <v>164.89747260218459</v>
      </c>
      <c r="P166" s="189">
        <f t="shared" ref="P166" si="108">S166/9.806*SIGN(D166)</f>
        <v>1.0197838058331634</v>
      </c>
      <c r="Q166" s="190">
        <f t="shared" ref="Q166" si="109">CEILING(O166,10)</f>
        <v>170</v>
      </c>
      <c r="R166" s="108"/>
      <c r="S166" s="109">
        <f t="shared" ref="S166" si="110">D166</f>
        <v>-10</v>
      </c>
    </row>
    <row r="167" spans="1:19" s="2" customFormat="1" ht="16.2" thickBot="1">
      <c r="A167" s="147"/>
      <c r="B167" s="297"/>
      <c r="C167" s="137"/>
      <c r="D167" s="151"/>
      <c r="E167" s="139"/>
      <c r="F167" s="140"/>
      <c r="G167" s="35"/>
      <c r="I167" s="295"/>
      <c r="J167" s="295"/>
      <c r="K167" s="142"/>
      <c r="L167" s="295"/>
      <c r="M167" s="142"/>
      <c r="N167" s="142"/>
      <c r="O167" s="142"/>
      <c r="P167" s="142"/>
      <c r="Q167" s="296"/>
      <c r="R167" s="108"/>
      <c r="S167" s="146"/>
    </row>
    <row r="168" spans="1:19" s="2" customFormat="1" ht="16.2" thickBot="1">
      <c r="A168" s="147" t="str">
        <f>PortateAria!A66</f>
        <v>E003</v>
      </c>
      <c r="B168" s="366" t="str">
        <f>PortateAria!A81</f>
        <v>0605/0311</v>
      </c>
      <c r="C168" s="298"/>
      <c r="D168" s="151">
        <f>PortateAria!K66-0</f>
        <v>8</v>
      </c>
      <c r="E168" s="139" t="s">
        <v>387</v>
      </c>
      <c r="F168" s="140">
        <f t="shared" ref="F168" si="111">Q168*SIGN(D168)</f>
        <v>110</v>
      </c>
      <c r="G168" s="299"/>
      <c r="H168" s="300"/>
      <c r="I168" s="187">
        <v>1.3</v>
      </c>
      <c r="J168" s="188">
        <v>2.1</v>
      </c>
      <c r="K168" s="175">
        <f t="shared" ref="K168:K169" si="112">(I168+J168)*2</f>
        <v>6.8000000000000007</v>
      </c>
      <c r="L168" s="188">
        <v>2E-3</v>
      </c>
      <c r="M168" s="175">
        <f t="shared" ref="M168:M169" si="113">K168*L168</f>
        <v>1.3600000000000001E-2</v>
      </c>
      <c r="N168" s="175">
        <f t="shared" ref="N168:N169" si="114">(2*P168*9.81/1.2)^(1/2)</f>
        <v>3.6522283855610369</v>
      </c>
      <c r="O168" s="175">
        <f t="shared" ref="O168:O169" si="115">0.65*M168*N168*3600*$S$139</f>
        <v>100.29237259133915</v>
      </c>
      <c r="P168" s="189">
        <f t="shared" ref="P168:P169" si="116">S168/9.806*SIGN(D168)</f>
        <v>0.81582704466653078</v>
      </c>
      <c r="Q168" s="190">
        <f t="shared" ref="Q168:Q169" si="117">CEILING(O168,10)</f>
        <v>110</v>
      </c>
      <c r="R168" s="108"/>
      <c r="S168" s="109">
        <f t="shared" ref="S168:S172" si="118">D168</f>
        <v>8</v>
      </c>
    </row>
    <row r="169" spans="1:19" s="2" customFormat="1" ht="16.2" thickBot="1">
      <c r="A169" s="147" t="str">
        <f>PortateAria!A66</f>
        <v>E003</v>
      </c>
      <c r="B169" s="366" t="s">
        <v>386</v>
      </c>
      <c r="C169" s="298"/>
      <c r="D169" s="151">
        <f>PortateAria!K66-(-10)</f>
        <v>18</v>
      </c>
      <c r="E169" s="139" t="s">
        <v>387</v>
      </c>
      <c r="F169" s="140">
        <f t="shared" ref="F169" si="119">Q169*SIGN(D169)</f>
        <v>160</v>
      </c>
      <c r="G169" s="299"/>
      <c r="H169" s="300"/>
      <c r="I169" s="187">
        <v>1.3</v>
      </c>
      <c r="J169" s="188">
        <v>2.1</v>
      </c>
      <c r="K169" s="175">
        <f t="shared" si="112"/>
        <v>6.8000000000000007</v>
      </c>
      <c r="L169" s="188">
        <v>2E-3</v>
      </c>
      <c r="M169" s="175">
        <f t="shared" si="113"/>
        <v>1.3600000000000001E-2</v>
      </c>
      <c r="N169" s="175">
        <f t="shared" si="114"/>
        <v>5.4783425783415556</v>
      </c>
      <c r="O169" s="175">
        <f t="shared" si="115"/>
        <v>150.43855888700872</v>
      </c>
      <c r="P169" s="189">
        <f t="shared" si="116"/>
        <v>1.8356108504996942</v>
      </c>
      <c r="Q169" s="190">
        <f t="shared" si="117"/>
        <v>160</v>
      </c>
      <c r="R169" s="108"/>
      <c r="S169" s="109">
        <f t="shared" si="118"/>
        <v>18</v>
      </c>
    </row>
    <row r="170" spans="1:19" s="2" customFormat="1" ht="16.2" thickBot="1">
      <c r="A170" s="147" t="str">
        <f>PortateAria!A65</f>
        <v>E002</v>
      </c>
      <c r="B170" s="122" t="s">
        <v>388</v>
      </c>
      <c r="C170" s="298"/>
      <c r="D170" s="151">
        <f>PortateAria!K65-0</f>
        <v>8</v>
      </c>
      <c r="E170" s="139" t="s">
        <v>389</v>
      </c>
      <c r="F170" s="140">
        <f t="shared" ref="F170:F172" si="120">Q170*SIGN(D170)</f>
        <v>120</v>
      </c>
      <c r="G170" s="35"/>
      <c r="I170" s="187">
        <v>1.8</v>
      </c>
      <c r="J170" s="188">
        <v>2.1</v>
      </c>
      <c r="K170" s="175">
        <f t="shared" ref="K170:K172" si="121">(I170+J170)*2</f>
        <v>7.8000000000000007</v>
      </c>
      <c r="L170" s="188">
        <v>2E-3</v>
      </c>
      <c r="M170" s="175">
        <f t="shared" ref="M170:M172" si="122">K170*L170</f>
        <v>1.5600000000000001E-2</v>
      </c>
      <c r="N170" s="175">
        <f t="shared" ref="N170:N172" si="123">(2*P170*9.81/1.2)^(1/2)</f>
        <v>3.6522283855610369</v>
      </c>
      <c r="O170" s="175">
        <f t="shared" ref="O170:O172" si="124">0.65*M170*N170*3600*$S$139</f>
        <v>115.04125091359491</v>
      </c>
      <c r="P170" s="189">
        <f t="shared" ref="P170:P172" si="125">S170/9.806*SIGN(D170)</f>
        <v>0.81582704466653078</v>
      </c>
      <c r="Q170" s="190">
        <f t="shared" ref="Q170:Q172" si="126">CEILING(O170,10)</f>
        <v>120</v>
      </c>
      <c r="R170" s="108"/>
      <c r="S170" s="109">
        <f t="shared" si="118"/>
        <v>8</v>
      </c>
    </row>
    <row r="171" spans="1:19" s="2" customFormat="1" ht="16.2" thickBot="1">
      <c r="A171" s="147" t="str">
        <f>PortateAria!A65</f>
        <v>E002</v>
      </c>
      <c r="B171" s="122" t="s">
        <v>388</v>
      </c>
      <c r="C171" s="298"/>
      <c r="D171" s="151">
        <f>PortateAria!K65-0</f>
        <v>8</v>
      </c>
      <c r="E171" s="139" t="s">
        <v>391</v>
      </c>
      <c r="F171" s="140">
        <f t="shared" si="120"/>
        <v>100</v>
      </c>
      <c r="G171" s="35"/>
      <c r="I171" s="187">
        <v>1.2</v>
      </c>
      <c r="J171" s="188">
        <v>2.1</v>
      </c>
      <c r="K171" s="175">
        <f t="shared" si="121"/>
        <v>6.6</v>
      </c>
      <c r="L171" s="188">
        <v>2E-3</v>
      </c>
      <c r="M171" s="175">
        <f t="shared" si="122"/>
        <v>1.32E-2</v>
      </c>
      <c r="N171" s="175">
        <f t="shared" si="123"/>
        <v>3.6522283855610369</v>
      </c>
      <c r="O171" s="175">
        <f t="shared" si="124"/>
        <v>97.342596926887992</v>
      </c>
      <c r="P171" s="189">
        <f t="shared" si="125"/>
        <v>0.81582704466653078</v>
      </c>
      <c r="Q171" s="190">
        <f t="shared" si="126"/>
        <v>100</v>
      </c>
      <c r="R171" s="108"/>
      <c r="S171" s="109">
        <f t="shared" si="118"/>
        <v>8</v>
      </c>
    </row>
    <row r="172" spans="1:19" s="2" customFormat="1" ht="16.2" thickBot="1">
      <c r="A172" s="147" t="str">
        <f>PortateAria!A65</f>
        <v>E002</v>
      </c>
      <c r="B172" s="366" t="s">
        <v>386</v>
      </c>
      <c r="C172" s="298"/>
      <c r="D172" s="151">
        <f>PortateAria!K65-(-10)</f>
        <v>18</v>
      </c>
      <c r="E172" s="139" t="s">
        <v>389</v>
      </c>
      <c r="F172" s="140">
        <f t="shared" si="120"/>
        <v>180</v>
      </c>
      <c r="G172" s="35"/>
      <c r="I172" s="187">
        <v>1.8</v>
      </c>
      <c r="J172" s="188">
        <v>2.1</v>
      </c>
      <c r="K172" s="175">
        <f t="shared" si="121"/>
        <v>7.8000000000000007</v>
      </c>
      <c r="L172" s="188">
        <v>2E-3</v>
      </c>
      <c r="M172" s="175">
        <f t="shared" si="122"/>
        <v>1.5600000000000001E-2</v>
      </c>
      <c r="N172" s="175">
        <f t="shared" si="123"/>
        <v>5.4783425783415556</v>
      </c>
      <c r="O172" s="175">
        <f t="shared" si="124"/>
        <v>172.56187637039238</v>
      </c>
      <c r="P172" s="189">
        <f t="shared" si="125"/>
        <v>1.8356108504996942</v>
      </c>
      <c r="Q172" s="190">
        <f t="shared" si="126"/>
        <v>180</v>
      </c>
      <c r="R172" s="108"/>
      <c r="S172" s="109">
        <f t="shared" si="118"/>
        <v>18</v>
      </c>
    </row>
    <row r="173" spans="1:19" s="2" customFormat="1" ht="15.6">
      <c r="A173" s="122"/>
      <c r="B173" s="150"/>
      <c r="C173" s="137"/>
      <c r="D173" s="151"/>
      <c r="E173" s="139"/>
      <c r="F173" s="140"/>
      <c r="G173" s="152"/>
      <c r="I173" s="108"/>
      <c r="J173" s="108"/>
      <c r="K173" s="141"/>
      <c r="L173" s="108"/>
      <c r="M173" s="141"/>
      <c r="N173" s="142"/>
      <c r="O173" s="143"/>
      <c r="P173" s="144"/>
      <c r="Q173" s="145"/>
      <c r="R173" s="108"/>
      <c r="S173" s="146"/>
    </row>
    <row r="174" spans="1:19" ht="24.6">
      <c r="A174" s="808" t="s">
        <v>65</v>
      </c>
      <c r="B174" s="809"/>
      <c r="C174" s="809"/>
      <c r="D174" s="809"/>
      <c r="E174" s="809"/>
      <c r="F174" s="809"/>
      <c r="G174" s="810"/>
    </row>
    <row r="175" spans="1:19" s="2" customFormat="1">
      <c r="A175" s="774" t="s">
        <v>29</v>
      </c>
      <c r="B175" s="774" t="s">
        <v>8</v>
      </c>
      <c r="C175" s="26" t="s">
        <v>0</v>
      </c>
      <c r="D175" s="26" t="s">
        <v>76</v>
      </c>
      <c r="E175" s="26" t="s">
        <v>284</v>
      </c>
      <c r="F175" s="26" t="s">
        <v>77</v>
      </c>
      <c r="G175" s="774" t="s">
        <v>30</v>
      </c>
    </row>
    <row r="176" spans="1:19" s="2" customFormat="1">
      <c r="A176" s="774"/>
      <c r="B176" s="774"/>
      <c r="C176" s="26" t="s">
        <v>38</v>
      </c>
      <c r="D176" s="26" t="s">
        <v>4</v>
      </c>
      <c r="E176" s="26" t="s">
        <v>285</v>
      </c>
      <c r="F176" s="26" t="s">
        <v>42</v>
      </c>
      <c r="G176" s="774"/>
    </row>
    <row r="177" spans="1:7" ht="15.6">
      <c r="A177" s="147" t="str">
        <f>PortateAria!A22</f>
        <v>A001</v>
      </c>
      <c r="B177" s="147" t="str">
        <f>PortateAria!B22</f>
        <v>ENTRANCE</v>
      </c>
      <c r="C177" s="285">
        <f>PortateAria!E22</f>
        <v>18.510000000000002</v>
      </c>
      <c r="D177" s="138">
        <f>PortateAria!K22</f>
        <v>0</v>
      </c>
      <c r="E177" s="286">
        <v>1</v>
      </c>
      <c r="F177" s="28">
        <f t="shared" ref="F177" si="127">MROUND(E177*D177*C177,10*SIGN(D177))</f>
        <v>0</v>
      </c>
      <c r="G177" s="169"/>
    </row>
    <row r="178" spans="1:7" ht="15.6">
      <c r="A178" s="147" t="str">
        <f>PortateAria!A23</f>
        <v>A002</v>
      </c>
      <c r="B178" s="147" t="str">
        <f>PortateAria!B23</f>
        <v>HANDLING AREA</v>
      </c>
      <c r="C178" s="285">
        <f>PortateAria!E23</f>
        <v>366.14</v>
      </c>
      <c r="D178" s="138">
        <f>PortateAria!K23</f>
        <v>0</v>
      </c>
      <c r="E178" s="286">
        <v>1</v>
      </c>
      <c r="F178" s="28">
        <f t="shared" ref="F178" si="128">MROUND(E178*D178*C178,10*SIGN(D178))</f>
        <v>0</v>
      </c>
      <c r="G178" s="169"/>
    </row>
    <row r="180" spans="1:7" ht="15.6">
      <c r="A180" s="147" t="str">
        <f>PortateAria!A45</f>
        <v>A104</v>
      </c>
      <c r="B180" s="147" t="str">
        <f>PortateAria!B45</f>
        <v>MALE CHANGING ROOM</v>
      </c>
      <c r="C180" s="285">
        <f>PortateAria!E45</f>
        <v>18.37</v>
      </c>
      <c r="D180" s="138">
        <f>PortateAria!K45</f>
        <v>-5</v>
      </c>
      <c r="E180" s="286">
        <v>1</v>
      </c>
      <c r="F180" s="28">
        <f t="shared" ref="F180:F183" si="129">MROUND(E180*D180*C180,10*SIGN(D180))</f>
        <v>-90</v>
      </c>
      <c r="G180" s="169"/>
    </row>
    <row r="181" spans="1:7" ht="15.6">
      <c r="A181" s="147" t="str">
        <f>PortateAria!A46</f>
        <v>A105</v>
      </c>
      <c r="B181" s="147" t="str">
        <f>PortateAria!B46</f>
        <v>MALE WC</v>
      </c>
      <c r="C181" s="285">
        <f>PortateAria!E46</f>
        <v>23</v>
      </c>
      <c r="D181" s="138">
        <f>PortateAria!K46</f>
        <v>-10</v>
      </c>
      <c r="E181" s="286">
        <v>1</v>
      </c>
      <c r="F181" s="28">
        <f t="shared" ref="F181" si="130">MROUND(E181*D181*C181,10*SIGN(D181))</f>
        <v>-230</v>
      </c>
      <c r="G181" s="169"/>
    </row>
    <row r="182" spans="1:7" ht="15.6">
      <c r="A182" s="147" t="str">
        <f>PortateAria!A47</f>
        <v>A106</v>
      </c>
      <c r="B182" s="147" t="str">
        <f>PortateAria!B47</f>
        <v>FEMALE WC</v>
      </c>
      <c r="C182" s="285">
        <f>PortateAria!E47</f>
        <v>23</v>
      </c>
      <c r="D182" s="138">
        <f>PortateAria!K47</f>
        <v>-10</v>
      </c>
      <c r="E182" s="286">
        <v>1</v>
      </c>
      <c r="F182" s="28">
        <f t="shared" si="129"/>
        <v>-230</v>
      </c>
      <c r="G182" s="169"/>
    </row>
    <row r="183" spans="1:7" ht="15.6">
      <c r="A183" s="147" t="str">
        <f>PortateAria!A48</f>
        <v>A107</v>
      </c>
      <c r="B183" s="147" t="str">
        <f>PortateAria!B48</f>
        <v>FEMALE CHANGING ROOM</v>
      </c>
      <c r="C183" s="285">
        <f>PortateAria!E48</f>
        <v>26</v>
      </c>
      <c r="D183" s="138">
        <f>PortateAria!K48</f>
        <v>-5</v>
      </c>
      <c r="E183" s="286">
        <v>1</v>
      </c>
      <c r="F183" s="28">
        <f t="shared" si="129"/>
        <v>-130</v>
      </c>
      <c r="G183" s="169"/>
    </row>
    <row r="185" spans="1:7" ht="15.6">
      <c r="A185" s="147" t="str">
        <f>PortateAria!A98</f>
        <v>B001</v>
      </c>
      <c r="B185" s="147" t="str">
        <f>PortateAria!B98</f>
        <v>DS STORAGE</v>
      </c>
      <c r="C185" s="285">
        <f>PortateAria!E98</f>
        <v>37.18</v>
      </c>
      <c r="D185" s="138">
        <f>PortateAria!K98</f>
        <v>0</v>
      </c>
      <c r="E185" s="286">
        <v>0.5</v>
      </c>
      <c r="F185" s="28">
        <f t="shared" ref="F185:F187" si="131">MROUND(E185*D185*C185,10*SIGN(D185))</f>
        <v>0</v>
      </c>
      <c r="G185" s="169"/>
    </row>
    <row r="186" spans="1:7" ht="15.6">
      <c r="A186" s="147" t="str">
        <f>PortateAria!A99</f>
        <v>B002</v>
      </c>
      <c r="B186" s="147" t="str">
        <f>PortateAria!B99</f>
        <v>CHECK ROOM/AIRLOCK</v>
      </c>
      <c r="C186" s="285">
        <f>PortateAria!E99</f>
        <v>18</v>
      </c>
      <c r="D186" s="138">
        <f>PortateAria!K99</f>
        <v>14.5</v>
      </c>
      <c r="E186" s="286">
        <v>0.5</v>
      </c>
      <c r="F186" s="28">
        <f t="shared" si="131"/>
        <v>130</v>
      </c>
      <c r="G186" s="169"/>
    </row>
    <row r="187" spans="1:7" ht="15.6">
      <c r="A187" s="147" t="str">
        <f>PortateAria!A100</f>
        <v>B003</v>
      </c>
      <c r="B187" s="147" t="str">
        <f>PortateAria!B100</f>
        <v>RECEIVING</v>
      </c>
      <c r="C187" s="285">
        <f>PortateAria!E100</f>
        <v>13</v>
      </c>
      <c r="D187" s="138">
        <f>PortateAria!K100</f>
        <v>10</v>
      </c>
      <c r="E187" s="286">
        <v>0.5</v>
      </c>
      <c r="F187" s="28">
        <f t="shared" si="131"/>
        <v>70</v>
      </c>
      <c r="G187" s="169"/>
    </row>
    <row r="189" spans="1:7" ht="15.6">
      <c r="A189" s="147" t="str">
        <f>PortateAria!A81</f>
        <v>0605/0311</v>
      </c>
      <c r="B189" s="147" t="str">
        <f>PortateAria!B81</f>
        <v>WAREHOUSE NORTH SIDE / CORRIDOR</v>
      </c>
      <c r="C189" s="285">
        <f>PortateAria!E81</f>
        <v>682</v>
      </c>
      <c r="D189" s="138">
        <f>PortateAria!K81</f>
        <v>0</v>
      </c>
      <c r="E189" s="286">
        <v>1</v>
      </c>
      <c r="F189" s="28">
        <f t="shared" ref="F189" si="132">MROUND(E189*D189*C189,10*SIGN(D189))</f>
        <v>0</v>
      </c>
      <c r="G189" s="169"/>
    </row>
    <row r="190" spans="1:7" ht="15.6">
      <c r="A190" s="147" t="str">
        <f>PortateAria!A82</f>
        <v>0606</v>
      </c>
      <c r="B190" s="147" t="str">
        <f>PortateAria!B82</f>
        <v>NO BETA AREA CORRIDOR</v>
      </c>
      <c r="C190" s="285">
        <f>PortateAria!E82</f>
        <v>228</v>
      </c>
      <c r="D190" s="138">
        <f>PortateAria!K82</f>
        <v>0</v>
      </c>
      <c r="E190" s="286">
        <v>1</v>
      </c>
      <c r="F190" s="28">
        <f t="shared" ref="F190" si="133">MROUND(E190*D190*C190,10*SIGN(D190))</f>
        <v>0</v>
      </c>
      <c r="G190" s="169"/>
    </row>
    <row r="191" spans="1:7" ht="15.6">
      <c r="A191" s="147" t="str">
        <f>PortateAria!A83</f>
        <v>0615</v>
      </c>
      <c r="B191" s="147" t="str">
        <f>PortateAria!B83</f>
        <v>WASTE MATERIAL EXIT</v>
      </c>
      <c r="C191" s="285">
        <f>PortateAria!E83</f>
        <v>24.3</v>
      </c>
      <c r="D191" s="138">
        <f>PortateAria!K83</f>
        <v>-10</v>
      </c>
      <c r="E191" s="286">
        <v>1</v>
      </c>
      <c r="F191" s="28">
        <f t="shared" ref="F191" si="134">MROUND(E191*D191*C191,10*SIGN(D191))</f>
        <v>-240</v>
      </c>
      <c r="G191" s="169"/>
    </row>
    <row r="193" spans="1:7" ht="15.6">
      <c r="A193" s="147" t="str">
        <f>PortateAria!A66</f>
        <v>E003</v>
      </c>
      <c r="B193" s="147" t="str">
        <f>PortateAria!B66</f>
        <v>LOGISTIC AIRLOCK IN</v>
      </c>
      <c r="C193" s="285">
        <f>PortateAria!E66</f>
        <v>4.58</v>
      </c>
      <c r="D193" s="138">
        <f>PortateAria!K66</f>
        <v>8</v>
      </c>
      <c r="E193" s="286">
        <v>1</v>
      </c>
      <c r="F193" s="28">
        <f t="shared" ref="F193" si="135">MROUND(E193*D193*C193,10*SIGN(D193))</f>
        <v>40</v>
      </c>
      <c r="G193" s="169"/>
    </row>
    <row r="194" spans="1:7" ht="15.6">
      <c r="A194" s="147" t="str">
        <f>PortateAria!A65</f>
        <v>E002</v>
      </c>
      <c r="B194" s="147" t="str">
        <f>PortateAria!B65</f>
        <v>LOGISTIC AIRLOCK OUT</v>
      </c>
      <c r="C194" s="285">
        <f>PortateAria!E65</f>
        <v>24.5</v>
      </c>
      <c r="D194" s="138">
        <f>PortateAria!K65</f>
        <v>8</v>
      </c>
      <c r="E194" s="286">
        <v>1</v>
      </c>
      <c r="F194" s="28">
        <f t="shared" ref="F194" si="136">MROUND(E194*D194*C194,10*SIGN(D194))</f>
        <v>200</v>
      </c>
      <c r="G194" s="169"/>
    </row>
  </sheetData>
  <mergeCells count="14">
    <mergeCell ref="A78:F78"/>
    <mergeCell ref="A116:F116"/>
    <mergeCell ref="A1:G1"/>
    <mergeCell ref="A174:G174"/>
    <mergeCell ref="G175:G176"/>
    <mergeCell ref="A175:A176"/>
    <mergeCell ref="B175:B176"/>
    <mergeCell ref="A2:F2"/>
    <mergeCell ref="A40:F40"/>
    <mergeCell ref="A138:G138"/>
    <mergeCell ref="A139:A140"/>
    <mergeCell ref="B139:B140"/>
    <mergeCell ref="G139:G140"/>
    <mergeCell ref="E139:E140"/>
  </mergeCells>
  <phoneticPr fontId="0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8" scale="62" fitToHeight="0" orientation="portrait" r:id="rId1"/>
  <headerFooter alignWithMargins="0">
    <oddHeader>&amp;R&amp;D</oddHeader>
    <oddFooter>&amp;L&amp;F - &amp;A&amp;R&amp;P</oddFooter>
  </headerFooter>
  <rowBreaks count="2" manualBreakCount="2">
    <brk id="71" max="16383" man="1"/>
    <brk id="135" max="6" man="1"/>
  </rowBreaks>
  <drawing r:id="rId2"/>
  <legacyDrawing r:id="rId3"/>
  <oleObjects>
    <mc:AlternateContent xmlns:mc="http://schemas.openxmlformats.org/markup-compatibility/2006">
      <mc:Choice Requires="x14">
        <oleObject progId="Equation.3" shapeId="1025" r:id="rId4">
          <objectPr defaultSize="0" autoPict="0" r:id="rId5">
            <anchor moveWithCells="1" sizeWithCells="1">
              <from>
                <xdr:col>0</xdr:col>
                <xdr:colOff>236220</xdr:colOff>
                <xdr:row>0</xdr:row>
                <xdr:rowOff>228600</xdr:rowOff>
              </from>
              <to>
                <xdr:col>3</xdr:col>
                <xdr:colOff>1112520</xdr:colOff>
                <xdr:row>0</xdr:row>
                <xdr:rowOff>228600</xdr:rowOff>
              </to>
            </anchor>
          </objectPr>
        </oleObject>
      </mc:Choice>
      <mc:Fallback>
        <oleObject progId="Equation.3" shapeId="1025" r:id="rId4"/>
      </mc:Fallback>
    </mc:AlternateContent>
    <mc:AlternateContent xmlns:mc="http://schemas.openxmlformats.org/markup-compatibility/2006">
      <mc:Choice Requires="x14">
        <oleObject progId="Equation.3" shapeId="1026" r:id="rId6">
          <objectPr defaultSize="0" autoPict="0" r:id="rId5">
            <anchor moveWithCells="1" sizeWithCells="1">
              <from>
                <xdr:col>0</xdr:col>
                <xdr:colOff>236220</xdr:colOff>
                <xdr:row>173</xdr:row>
                <xdr:rowOff>144780</xdr:rowOff>
              </from>
              <to>
                <xdr:col>3</xdr:col>
                <xdr:colOff>1112520</xdr:colOff>
                <xdr:row>173</xdr:row>
                <xdr:rowOff>144780</xdr:rowOff>
              </to>
            </anchor>
          </objectPr>
        </oleObject>
      </mc:Choice>
      <mc:Fallback>
        <oleObject progId="Equation.3" shapeId="1026" r:id="rId6"/>
      </mc:Fallback>
    </mc:AlternateContent>
    <mc:AlternateContent xmlns:mc="http://schemas.openxmlformats.org/markup-compatibility/2006">
      <mc:Choice Requires="x14">
        <oleObject progId="Equation.3" shapeId="1027" r:id="rId7">
          <objectPr defaultSize="0" autoPict="0" r:id="rId5">
            <anchor moveWithCells="1" sizeWithCells="1">
              <from>
                <xdr:col>0</xdr:col>
                <xdr:colOff>236220</xdr:colOff>
                <xdr:row>137</xdr:row>
                <xdr:rowOff>144780</xdr:rowOff>
              </from>
              <to>
                <xdr:col>3</xdr:col>
                <xdr:colOff>1112520</xdr:colOff>
                <xdr:row>137</xdr:row>
                <xdr:rowOff>144780</xdr:rowOff>
              </to>
            </anchor>
          </objectPr>
        </oleObject>
      </mc:Choice>
      <mc:Fallback>
        <oleObject progId="Equation.3" shapeId="1027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14</vt:i4>
      </vt:variant>
      <vt:variant>
        <vt:lpstr>Intervalli denominati</vt:lpstr>
      </vt:variant>
      <vt:variant>
        <vt:i4>11</vt:i4>
      </vt:variant>
    </vt:vector>
  </HeadingPairs>
  <TitlesOfParts>
    <vt:vector size="25" baseType="lpstr">
      <vt:lpstr>COVER RHD</vt:lpstr>
      <vt:lpstr>Design Criteria</vt:lpstr>
      <vt:lpstr>CarichiApparecchiature(NO PLOT)</vt:lpstr>
      <vt:lpstr>Carichi t. REV(NO PLOT)</vt:lpstr>
      <vt:lpstr>Carichi t. LBW(NO PLOT)</vt:lpstr>
      <vt:lpstr>Carichi t. LINK(NO PLOT)</vt:lpstr>
      <vt:lpstr>COVER FCH</vt:lpstr>
      <vt:lpstr>PortateAria</vt:lpstr>
      <vt:lpstr>Batterie di POST</vt:lpstr>
      <vt:lpstr>RiepilogoConsumi(NO PLOT)</vt:lpstr>
      <vt:lpstr>Ventilconvettori(NO PLOT)</vt:lpstr>
      <vt:lpstr>Diffusori(NO PLOT)</vt:lpstr>
      <vt:lpstr>Aria primaria(NO PLOT)</vt:lpstr>
      <vt:lpstr>PerditeAria(NO PLOT)</vt:lpstr>
      <vt:lpstr>'Batterie di POST'!Area_stampa</vt:lpstr>
      <vt:lpstr>'CarichiApparecchiature(NO PLOT)'!Area_stampa</vt:lpstr>
      <vt:lpstr>'COVER FCH'!Area_stampa</vt:lpstr>
      <vt:lpstr>'COVER RHD'!Area_stampa</vt:lpstr>
      <vt:lpstr>'Design Criteria'!Area_stampa</vt:lpstr>
      <vt:lpstr>'PerditeAria(NO PLOT)'!Area_stampa</vt:lpstr>
      <vt:lpstr>PortateAria!Area_stampa</vt:lpstr>
      <vt:lpstr>'RiepilogoConsumi(NO PLOT)'!Area_stampa</vt:lpstr>
      <vt:lpstr>'Ventilconvettori(NO PLOT)'!Area_stampa</vt:lpstr>
      <vt:lpstr>'COVER FCH'!Print_Area</vt:lpstr>
      <vt:lpstr>'COVER RHD'!Print_Area</vt:lpstr>
    </vt:vector>
  </TitlesOfParts>
  <Company>TECHNICONSULT FIRENZE S.r.l.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Lejeune</dc:creator>
  <cp:lastModifiedBy>Federico Badalassi</cp:lastModifiedBy>
  <cp:lastPrinted>2024-06-18T09:59:34Z</cp:lastPrinted>
  <dcterms:created xsi:type="dcterms:W3CDTF">1998-08-25T13:22:50Z</dcterms:created>
  <dcterms:modified xsi:type="dcterms:W3CDTF">2024-11-13T09:18:38Z</dcterms:modified>
</cp:coreProperties>
</file>